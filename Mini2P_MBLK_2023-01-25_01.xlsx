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/>
  <mc:AlternateContent xmlns:mc="http://schemas.openxmlformats.org/markup-compatibility/2006">
    <mc:Choice Requires="x15">
      <x15ac:absPath xmlns:x15ac="http://schemas.microsoft.com/office/spreadsheetml/2010/11/ac" url="C:\Users\G.Marcolla\Desktop\Auto SuperBOM\"/>
    </mc:Choice>
  </mc:AlternateContent>
  <xr:revisionPtr revIDLastSave="0" documentId="13_ncr:1_{7357445A-6DC2-4C2A-9393-8837AA990A1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Sheet1!$B$6:$W$146</definedName>
  </definedNames>
  <calcPr calcId="191029"/>
</workbook>
</file>

<file path=xl/calcChain.xml><?xml version="1.0" encoding="utf-8"?>
<calcChain xmlns="http://schemas.openxmlformats.org/spreadsheetml/2006/main">
  <c r="U46" i="2" l="1"/>
  <c r="S46" i="2"/>
  <c r="R33" i="2"/>
  <c r="R34" i="2" s="1"/>
  <c r="Q33" i="2"/>
  <c r="Q34" i="2" s="1"/>
  <c r="P33" i="2"/>
  <c r="P34" i="2" s="1"/>
  <c r="O33" i="2"/>
  <c r="O34" i="2" s="1"/>
  <c r="N33" i="2"/>
  <c r="N34" i="2" s="1"/>
  <c r="M33" i="2"/>
  <c r="M34" i="2" s="1"/>
  <c r="L33" i="2"/>
  <c r="L34" i="2" s="1"/>
  <c r="K33" i="2"/>
  <c r="K34" i="2" s="1"/>
  <c r="J33" i="2"/>
  <c r="J34" i="2" s="1"/>
  <c r="I33" i="2"/>
  <c r="I34" i="2" s="1"/>
  <c r="H33" i="2"/>
  <c r="H34" i="2" s="1"/>
  <c r="G33" i="2"/>
  <c r="G34" i="2" s="1"/>
  <c r="F33" i="2"/>
  <c r="N46" i="2"/>
  <c r="Q46" i="2"/>
  <c r="R46" i="2"/>
  <c r="G46" i="2"/>
  <c r="R25" i="2"/>
  <c r="R26" i="2" s="1"/>
  <c r="Q25" i="2"/>
  <c r="Q26" i="2" s="1"/>
  <c r="P25" i="2"/>
  <c r="P26" i="2" s="1"/>
  <c r="P46" i="2" s="1"/>
  <c r="O25" i="2"/>
  <c r="O26" i="2" s="1"/>
  <c r="O46" i="2" s="1"/>
  <c r="N25" i="2"/>
  <c r="N26" i="2" s="1"/>
  <c r="M25" i="2"/>
  <c r="M26" i="2" s="1"/>
  <c r="L25" i="2"/>
  <c r="L26" i="2" s="1"/>
  <c r="K25" i="2"/>
  <c r="K26" i="2" s="1"/>
  <c r="J25" i="2"/>
  <c r="J26" i="2" s="1"/>
  <c r="I25" i="2"/>
  <c r="I26" i="2" s="1"/>
  <c r="H25" i="2"/>
  <c r="H26" i="2" s="1"/>
  <c r="G25" i="2"/>
  <c r="G26" i="2" s="1"/>
  <c r="F25" i="2"/>
  <c r="R41" i="2"/>
  <c r="R40" i="2"/>
  <c r="Q40" i="2"/>
  <c r="Q41" i="2" s="1"/>
  <c r="P40" i="2"/>
  <c r="P41" i="2" s="1"/>
  <c r="O40" i="2"/>
  <c r="O41" i="2" s="1"/>
  <c r="N40" i="2"/>
  <c r="N41" i="2" s="1"/>
  <c r="M40" i="2"/>
  <c r="M41" i="2" s="1"/>
  <c r="M46" i="2" s="1"/>
  <c r="L40" i="2"/>
  <c r="L41" i="2" s="1"/>
  <c r="L46" i="2" s="1"/>
  <c r="K40" i="2"/>
  <c r="K41" i="2" s="1"/>
  <c r="J40" i="2"/>
  <c r="J41" i="2" s="1"/>
  <c r="J46" i="2" s="1"/>
  <c r="I40" i="2"/>
  <c r="I41" i="2" s="1"/>
  <c r="I46" i="2" s="1"/>
  <c r="H40" i="2"/>
  <c r="H41" i="2" s="1"/>
  <c r="G40" i="2"/>
  <c r="G41" i="2" s="1"/>
  <c r="F40" i="2"/>
  <c r="R9" i="2"/>
  <c r="Q9" i="2"/>
  <c r="K9" i="2"/>
  <c r="J9" i="2"/>
  <c r="I9" i="2"/>
  <c r="L17" i="2"/>
  <c r="M17" i="2"/>
  <c r="R17" i="2"/>
  <c r="F6" i="3"/>
  <c r="G6" i="3"/>
  <c r="H6" i="3"/>
  <c r="I6" i="3"/>
  <c r="J6" i="3"/>
  <c r="K6" i="3"/>
  <c r="L6" i="3"/>
  <c r="M6" i="3"/>
  <c r="N6" i="3"/>
  <c r="O6" i="3"/>
  <c r="P6" i="3"/>
  <c r="E6" i="3"/>
  <c r="E5" i="3"/>
  <c r="F5" i="3"/>
  <c r="G5" i="3"/>
  <c r="H5" i="3"/>
  <c r="I5" i="3"/>
  <c r="J5" i="3"/>
  <c r="K5" i="3"/>
  <c r="L5" i="3"/>
  <c r="M5" i="3"/>
  <c r="N5" i="3"/>
  <c r="O5" i="3"/>
  <c r="P5" i="3"/>
  <c r="D5" i="3"/>
  <c r="S8" i="2"/>
  <c r="S5" i="2"/>
  <c r="T16" i="2"/>
  <c r="S16" i="2"/>
  <c r="R16" i="2"/>
  <c r="Q16" i="2"/>
  <c r="Q17" i="2" s="1"/>
  <c r="P16" i="2"/>
  <c r="P17" i="2" s="1"/>
  <c r="O16" i="2"/>
  <c r="O17" i="2" s="1"/>
  <c r="N16" i="2"/>
  <c r="N17" i="2" s="1"/>
  <c r="M16" i="2"/>
  <c r="L16" i="2"/>
  <c r="K16" i="2"/>
  <c r="K17" i="2" s="1"/>
  <c r="J16" i="2"/>
  <c r="J17" i="2" s="1"/>
  <c r="I16" i="2"/>
  <c r="I17" i="2" s="1"/>
  <c r="H16" i="2"/>
  <c r="H17" i="2" s="1"/>
  <c r="H46" i="2" s="1"/>
  <c r="G16" i="2"/>
  <c r="G17" i="2" s="1"/>
  <c r="F16" i="2"/>
  <c r="G8" i="2"/>
  <c r="G9" i="2" s="1"/>
  <c r="H8" i="2"/>
  <c r="H9" i="2" s="1"/>
  <c r="I8" i="2"/>
  <c r="J8" i="2"/>
  <c r="K8" i="2"/>
  <c r="L8" i="2"/>
  <c r="L9" i="2" s="1"/>
  <c r="M8" i="2"/>
  <c r="M9" i="2" s="1"/>
  <c r="N8" i="2"/>
  <c r="N9" i="2" s="1"/>
  <c r="O8" i="2"/>
  <c r="O9" i="2" s="1"/>
  <c r="P8" i="2"/>
  <c r="P9" i="2" s="1"/>
  <c r="Q8" i="2"/>
  <c r="R8" i="2"/>
  <c r="T8" i="2"/>
  <c r="F8" i="2"/>
  <c r="K46" i="2" l="1"/>
</calcChain>
</file>

<file path=xl/sharedStrings.xml><?xml version="1.0" encoding="utf-8"?>
<sst xmlns="http://schemas.openxmlformats.org/spreadsheetml/2006/main" count="497" uniqueCount="121">
  <si>
    <t>Material</t>
  </si>
  <si>
    <t>Material Description</t>
  </si>
  <si>
    <t>Description</t>
  </si>
  <si>
    <t>BCM Stock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</si>
  <si>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</si>
  <si>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</si>
  <si>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</si>
  <si>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</si>
  <si>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</si>
  <si>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</si>
  <si>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</si>
  <si>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</si>
  <si>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</si>
  <si>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</si>
  <si>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</si>
  <si>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</si>
  <si>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Sum</t>
  </si>
  <si>
    <t>Future</t>
  </si>
  <si>
    <t>33K/1%/0.1W/100ppm/Chip Resistor</t>
  </si>
  <si>
    <t>PO Confirm</t>
  </si>
  <si>
    <t>Stock</t>
  </si>
  <si>
    <t>100R/1%/0.1W/100ppm/Chip resistor</t>
  </si>
  <si>
    <t>10k/1%/0.1W/100ppm/Chip resistor</t>
  </si>
  <si>
    <t>1k/1%/0.1W/100ppm/Chip resistor</t>
  </si>
  <si>
    <t>56k/1%/0.1W/100ppm/Chip resistor</t>
  </si>
  <si>
    <t>100k/1%/0.1W/100ppm/Chip resistor</t>
  </si>
  <si>
    <t>1R/1%/0.1W/200ppm/Chip resistor</t>
  </si>
  <si>
    <t>100k/1%/0.063W/100ppm/Chip resistor</t>
  </si>
  <si>
    <t>10k/1%/0.063W/100ppm/Chip resistor</t>
  </si>
  <si>
    <t>1k/1%/0.063W/100ppm/Chip resistor</t>
  </si>
  <si>
    <t>15k/1%/0.1W/100ppm/chip resistor</t>
  </si>
  <si>
    <t>1R/1%/0.25W/200ppm/Chip resistor</t>
  </si>
  <si>
    <t>1PS76SB10/ Schottky Diode 30V 200mA</t>
  </si>
  <si>
    <t>100R/1%/0.0625W/100ppm/Chip resistor</t>
  </si>
  <si>
    <t>15k/1%/0.063W/100ppm/Chip Resistor</t>
  </si>
  <si>
    <t>1K4/1%/0.1W/100ppm/Chip resistor</t>
  </si>
  <si>
    <t>100nF/10%/50V/X7R/Chip capacitor</t>
  </si>
  <si>
    <t>10nF/10%/50V/X7R/Chip capacitor</t>
  </si>
  <si>
    <t>1N4148WT/Switching Diode</t>
  </si>
  <si>
    <t>100k/1%/0.063W/50ppm/Chip resistor</t>
  </si>
  <si>
    <t>Antistatic bag/12.5x18 cm</t>
  </si>
  <si>
    <t>0R1/1%/0.125W/Tc600ppm/Chip Resistor</t>
  </si>
  <si>
    <t>1uF/10%/50V/X5R/Chip capacitor</t>
  </si>
  <si>
    <t>2.2uF/10%/25V/X5R/Chip capacitor</t>
  </si>
  <si>
    <t>2.2uF/10%/25V/X5R/Ceramic Capacitor</t>
  </si>
  <si>
    <t>1K4/1%/0.0625W/100ppm/Chip resistor</t>
  </si>
  <si>
    <t>PESD0402-140/14V/0.25pF/TVS Diodes</t>
  </si>
  <si>
    <t>4.7uF/10%/35V/X5R/Chip capacitor</t>
  </si>
  <si>
    <t>FrontRingE3/E-Bike/Mini Rev02/Matt</t>
  </si>
  <si>
    <t>4.7uH/20%/1.5A/0.19R/chip Inductor</t>
  </si>
  <si>
    <t>O-ring/EPDM/Black/70 shore A</t>
  </si>
  <si>
    <t>D-ring/EPDM/Black/50 shore A</t>
  </si>
  <si>
    <t>Lens/SN2/clear/Glass</t>
  </si>
  <si>
    <t>1uF/10%/16V/X5R/Chip capacitor</t>
  </si>
  <si>
    <t>Thermal conductive paste/SC102</t>
  </si>
  <si>
    <t>Glue/OTTOCOLL M500/Black/Polymer</t>
  </si>
  <si>
    <t>BOXSTD/Carton box/Supernova</t>
  </si>
  <si>
    <t>SEPARATOR Part A/Supernova/Long</t>
  </si>
  <si>
    <t>SEPARATOR part B/Supernova/Short</t>
  </si>
  <si>
    <t>Carton Sheet/Supernova/M125/M B</t>
  </si>
  <si>
    <t>180mR/1%/125mW/600ppm/Chip Resistor</t>
  </si>
  <si>
    <t>0R2/1%/125mW/600ppm/Chip Resistor</t>
  </si>
  <si>
    <t>330mR/1%/125mW/600ppm/Chip Resistor</t>
  </si>
  <si>
    <t>1uH/30%/2A/75mR/Chip inductor</t>
  </si>
  <si>
    <t>AQHV15-01L/12V/10A/300W/TVS Diodes</t>
  </si>
  <si>
    <t>ATTINY10-TSHR/5V/1KB/12MHz/AVR MCU</t>
  </si>
  <si>
    <t>MP2015A/Adjust/0.15A/Regulator</t>
  </si>
  <si>
    <t>10K/1%/0.1W/NTC Thermistor</t>
  </si>
  <si>
    <t>V2P6-M3/60V/2A/0.8W/Schottky Diode</t>
  </si>
  <si>
    <t>10k/1%/0.1W/-40to125/NTC Thermistor</t>
  </si>
  <si>
    <t>Body E3/Mini2P LDM/Matt Black</t>
  </si>
  <si>
    <t>Coaxial cable Contact/2P/Male/Black</t>
  </si>
  <si>
    <t>Lock washer/SST/-</t>
  </si>
  <si>
    <t>Lock washer/SST/</t>
  </si>
  <si>
    <t>LDK320M33R/3.3V/200mA/REG LINEAR</t>
  </si>
  <si>
    <t>8-ring3/EPDM/Black/60 shore</t>
  </si>
  <si>
    <t>Coaxial cable/2P/Female/Black</t>
  </si>
  <si>
    <t>MP2410BGJE/24V/2A/LED driver</t>
  </si>
  <si>
    <t>STM8S003F3U6TR/8kB/16MHz/8bit MCU</t>
  </si>
  <si>
    <t>White LED/3.4V/1.5A/450Im</t>
  </si>
  <si>
    <t>CPDQC3V3T-HF/3.3V/180W/TVS Diode</t>
  </si>
  <si>
    <t>White LED/3.4V/0.2A/485Im</t>
  </si>
  <si>
    <t>LED2000DR/3-18V/3A/LED Driver</t>
  </si>
  <si>
    <t>Jaeger Silicon Fluid/1404s</t>
  </si>
  <si>
    <t>E3MiniPRO V1.3.1/AL/1.6/2L/35u/HASL</t>
  </si>
  <si>
    <t>MP2410AGJ/24V/2A/LED driver</t>
  </si>
  <si>
    <t>Mini2Pro-BCM-V1a/2L/ALU/1.6mm/HASL</t>
  </si>
  <si>
    <t>Mini2PRO V1.3.2/AL/1.6/2L/35u/HASL</t>
  </si>
  <si>
    <t>Past Due</t>
  </si>
  <si>
    <t>Supernova U-MINI2P-MBLK-OE V1.3.0</t>
  </si>
  <si>
    <t>Demand</t>
  </si>
  <si>
    <t>Supernova U-MINI2P-MBLK-OE V1.3.1</t>
  </si>
  <si>
    <t>Supernova U-MINI2P-MBLK-OE BCM-V1</t>
  </si>
  <si>
    <t>68116
U-MINI2P-MBLK-OE V1.3.0</t>
  </si>
  <si>
    <t>69683
U-MINI2P-MBLK-OE V1.3.1</t>
  </si>
  <si>
    <t>69685
U-MINI2P-MBLK-OE BCM-V1</t>
  </si>
  <si>
    <t>Current Demand Distribution</t>
  </si>
  <si>
    <t>Suggested Demand Distribution</t>
  </si>
  <si>
    <t>Total</t>
  </si>
  <si>
    <t>Current Demand Distribution - Mean 10500</t>
  </si>
  <si>
    <t>Sum Demand</t>
  </si>
  <si>
    <t>68111</t>
  </si>
  <si>
    <t>Supernova U-MINI2LDM-BLK-OE V7.7.1</t>
  </si>
  <si>
    <t>68112</t>
  </si>
  <si>
    <t>Supernova U-MINI2LDM-MBLK-OE V7.7.1</t>
  </si>
  <si>
    <t>Line usage</t>
  </si>
  <si>
    <t>Line Usage</t>
  </si>
  <si>
    <t>68115</t>
  </si>
  <si>
    <t>Supernova U-MINI2P-BLK-OE V1.3.0</t>
  </si>
  <si>
    <t>69682</t>
  </si>
  <si>
    <t>Supernova U-MINI2P-BLK-OE V1.3.1</t>
  </si>
  <si>
    <t>69684</t>
  </si>
  <si>
    <t>Supernova U-MINI2P-BLK-OE BCM-V1</t>
  </si>
  <si>
    <t xml:space="preserve">Sum </t>
  </si>
  <si>
    <t>Total Line Usage</t>
  </si>
  <si>
    <t>Over</t>
  </si>
  <si>
    <t>OT</t>
  </si>
  <si>
    <t>Diff</t>
  </si>
  <si>
    <t>Mini2 Demand redistribution</t>
  </si>
  <si>
    <t>Mini2P MBLK Demand Redistribution</t>
  </si>
  <si>
    <t>Line 01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</si>
</sst>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66" formatCode="#,##0.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0">
    <xf numFmtId="0" fontId="0" fillId="0" borderId="0" xfId="0"/>
    <xf numFmtId="0" fontId="1" fillId="2" borderId="1" xfId="0" applyFont="1" applyFill="1" applyBorder="1" applyAlignment="1">
      <alignment horizontal="left" textRotation="90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left" textRotation="90" wrapText="1"/>
    </xf>
    <xf numFmtId="0" fontId="1" fillId="2" borderId="5" xfId="0" applyFont="1" applyFill="1" applyBorder="1" applyAlignment="1">
      <alignment horizontal="left" textRotation="90" wrapText="1"/>
    </xf>
    <xf numFmtId="0" fontId="1" fillId="2" borderId="7" xfId="0" applyFont="1" applyFill="1" applyBorder="1" applyAlignment="1">
      <alignment horizontal="left" textRotation="90" wrapText="1"/>
    </xf>
    <xf numFmtId="0" fontId="1" fillId="2" borderId="9" xfId="0" applyFont="1" applyFill="1" applyBorder="1" applyAlignment="1">
      <alignment horizontal="left" textRotation="90" wrapText="1"/>
    </xf>
    <xf numFmtId="0" fontId="1" fillId="2" borderId="10" xfId="0" applyFont="1" applyFill="1" applyBorder="1" applyAlignment="1">
      <alignment horizontal="left" textRotation="90" wrapText="1"/>
    </xf>
    <xf numFmtId="0" fontId="0" fillId="0" borderId="12" xfId="0" applyBorder="1"/>
    <xf numFmtId="0" fontId="0" fillId="0" borderId="13" xfId="0" applyBorder="1"/>
    <xf numFmtId="0" fontId="1" fillId="2" borderId="14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  <xf numFmtId="0" fontId="0" fillId="0" borderId="17" xfId="0" applyBorder="1"/>
    <xf numFmtId="0" fontId="1" fillId="2" borderId="18" xfId="0" applyFont="1" applyFill="1" applyBorder="1" applyAlignment="1">
      <alignment horizontal="center" vertical="top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7" xfId="0" applyBorder="1"/>
    <xf numFmtId="0" fontId="0" fillId="0" borderId="8" xfId="0" applyBorder="1"/>
    <xf numFmtId="0" fontId="0" fillId="0" borderId="24" xfId="0" applyBorder="1"/>
    <xf numFmtId="0" fontId="0" fillId="0" borderId="25" xfId="0" applyBorder="1"/>
    <xf numFmtId="0" fontId="0" fillId="0" borderId="9" xfId="0" applyBorder="1"/>
    <xf numFmtId="0" fontId="0" fillId="0" borderId="11" xfId="0" applyBorder="1"/>
    <xf numFmtId="0" fontId="1" fillId="2" borderId="26" xfId="0" applyFont="1" applyFill="1" applyBorder="1" applyAlignment="1">
      <alignment horizontal="left" textRotation="90" wrapText="1"/>
    </xf>
    <xf numFmtId="0" fontId="1" fillId="2" borderId="20" xfId="0" applyFont="1" applyFill="1" applyBorder="1" applyAlignment="1">
      <alignment horizontal="left" textRotation="90" wrapText="1"/>
    </xf>
    <xf numFmtId="0" fontId="1" fillId="2" borderId="27" xfId="0" applyFont="1" applyFill="1" applyBorder="1" applyAlignment="1">
      <alignment horizontal="left" textRotation="90" wrapText="1"/>
    </xf>
    <xf numFmtId="0" fontId="1" fillId="2" borderId="28" xfId="0" applyFont="1" applyFill="1" applyBorder="1" applyAlignment="1">
      <alignment horizontal="center" vertical="top"/>
    </xf>
    <xf numFmtId="0" fontId="0" fillId="0" borderId="10" xfId="0" applyBorder="1"/>
    <xf numFmtId="0" fontId="0" fillId="0" borderId="27" xfId="0" applyBorder="1"/>
    <xf numFmtId="0" fontId="0" fillId="0" borderId="29" xfId="0" applyBorder="1"/>
    <xf numFmtId="0" fontId="0" fillId="3" borderId="0" xfId="0" applyFill="1"/>
    <xf numFmtId="0" fontId="0" fillId="0" borderId="30" xfId="0" applyBorder="1"/>
    <xf numFmtId="0" fontId="0" fillId="0" borderId="0" xfId="0" applyBorder="1"/>
    <xf numFmtId="0" fontId="0" fillId="0" borderId="0" xfId="0" applyFill="1" applyBorder="1"/>
    <xf numFmtId="0" fontId="0" fillId="0" borderId="14" xfId="0" applyFill="1" applyBorder="1"/>
    <xf numFmtId="0" fontId="0" fillId="0" borderId="16" xfId="0" applyBorder="1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8" xfId="1" applyNumberFormat="1" applyFont="1" applyBorder="1"/>
    <xf numFmtId="165" fontId="0" fillId="0" borderId="13" xfId="1" applyNumberFormat="1" applyFont="1" applyBorder="1"/>
    <xf numFmtId="165" fontId="0" fillId="0" borderId="25" xfId="1" applyNumberFormat="1" applyFont="1" applyBorder="1"/>
    <xf numFmtId="165" fontId="0" fillId="0" borderId="15" xfId="1" applyNumberFormat="1" applyFont="1" applyBorder="1"/>
    <xf numFmtId="165" fontId="0" fillId="0" borderId="16" xfId="1" applyNumberFormat="1" applyFont="1" applyBorder="1"/>
    <xf numFmtId="165" fontId="0" fillId="5" borderId="1" xfId="1" applyNumberFormat="1" applyFont="1" applyFill="1" applyBorder="1"/>
    <xf numFmtId="165" fontId="0" fillId="5" borderId="13" xfId="1" applyNumberFormat="1" applyFont="1" applyFill="1" applyBorder="1"/>
    <xf numFmtId="165" fontId="0" fillId="0" borderId="2" xfId="1" applyNumberFormat="1" applyFont="1" applyBorder="1"/>
    <xf numFmtId="165" fontId="0" fillId="0" borderId="12" xfId="1" applyNumberFormat="1" applyFont="1" applyBorder="1"/>
    <xf numFmtId="165" fontId="0" fillId="0" borderId="28" xfId="1" applyNumberFormat="1" applyFont="1" applyBorder="1"/>
    <xf numFmtId="165" fontId="0" fillId="0" borderId="7" xfId="1" applyNumberFormat="1" applyFont="1" applyBorder="1"/>
    <xf numFmtId="165" fontId="0" fillId="0" borderId="24" xfId="1" applyNumberFormat="1" applyFont="1" applyBorder="1"/>
    <xf numFmtId="165" fontId="0" fillId="0" borderId="14" xfId="1" applyNumberFormat="1" applyFont="1" applyBorder="1"/>
    <xf numFmtId="165" fontId="0" fillId="5" borderId="8" xfId="1" applyNumberFormat="1" applyFont="1" applyFill="1" applyBorder="1"/>
    <xf numFmtId="165" fontId="6" fillId="4" borderId="1" xfId="1" applyNumberFormat="1" applyFont="1" applyFill="1" applyBorder="1"/>
    <xf numFmtId="165" fontId="6" fillId="4" borderId="13" xfId="1" applyNumberFormat="1" applyFont="1" applyFill="1" applyBorder="1"/>
    <xf numFmtId="165" fontId="6" fillId="4" borderId="15" xfId="1" applyNumberFormat="1" applyFont="1" applyFill="1" applyBorder="1"/>
    <xf numFmtId="165" fontId="0" fillId="0" borderId="23" xfId="1" applyNumberFormat="1" applyFont="1" applyBorder="1"/>
    <xf numFmtId="165" fontId="0" fillId="0" borderId="22" xfId="1" applyNumberFormat="1" applyFont="1" applyBorder="1"/>
    <xf numFmtId="165" fontId="0" fillId="0" borderId="3" xfId="1" applyNumberFormat="1" applyFont="1" applyBorder="1"/>
    <xf numFmtId="165" fontId="0" fillId="0" borderId="17" xfId="1" applyNumberFormat="1" applyFont="1" applyBorder="1"/>
    <xf numFmtId="165" fontId="1" fillId="2" borderId="16" xfId="1" applyNumberFormat="1" applyFont="1" applyFill="1" applyBorder="1" applyAlignment="1">
      <alignment horizontal="center" vertical="top"/>
    </xf>
    <xf numFmtId="165" fontId="1" fillId="2" borderId="14" xfId="1" applyNumberFormat="1" applyFont="1" applyFill="1" applyBorder="1" applyAlignment="1">
      <alignment horizontal="center" vertical="top"/>
    </xf>
    <xf numFmtId="165" fontId="1" fillId="2" borderId="15" xfId="1" applyNumberFormat="1" applyFont="1" applyFill="1" applyBorder="1" applyAlignment="1">
      <alignment horizontal="center" vertical="top"/>
    </xf>
    <xf numFmtId="165" fontId="1" fillId="2" borderId="28" xfId="1" applyNumberFormat="1" applyFont="1" applyFill="1" applyBorder="1" applyAlignment="1">
      <alignment horizontal="center" vertical="top"/>
    </xf>
    <xf numFmtId="165" fontId="5" fillId="2" borderId="16" xfId="1" applyNumberFormat="1" applyFont="1" applyFill="1" applyBorder="1" applyAlignment="1">
      <alignment horizontal="center" vertical="top"/>
    </xf>
    <xf numFmtId="165" fontId="6" fillId="4" borderId="3" xfId="1" applyNumberFormat="1" applyFont="1" applyFill="1" applyBorder="1"/>
    <xf numFmtId="0" fontId="3" fillId="0" borderId="0" xfId="0" applyFont="1" applyBorder="1"/>
    <xf numFmtId="165" fontId="7" fillId="5" borderId="13" xfId="1" applyNumberFormat="1" applyFont="1" applyFill="1" applyBorder="1"/>
    <xf numFmtId="0" fontId="0" fillId="0" borderId="4" xfId="0" applyBorder="1"/>
    <xf numFmtId="165" fontId="0" fillId="0" borderId="6" xfId="1" applyNumberFormat="1" applyFont="1" applyBorder="1"/>
    <xf numFmtId="165" fontId="0" fillId="0" borderId="4" xfId="1" applyNumberFormat="1" applyFont="1" applyBorder="1"/>
    <xf numFmtId="165" fontId="0" fillId="0" borderId="5" xfId="1" applyNumberFormat="1" applyFont="1" applyBorder="1"/>
    <xf numFmtId="165" fontId="0" fillId="5" borderId="5" xfId="1" applyNumberFormat="1" applyFont="1" applyFill="1" applyBorder="1"/>
    <xf numFmtId="165" fontId="0" fillId="0" borderId="38" xfId="1" applyNumberFormat="1" applyFont="1" applyBorder="1"/>
    <xf numFmtId="3" fontId="0" fillId="0" borderId="0" xfId="0" applyNumberFormat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3" fillId="2" borderId="4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0" fillId="0" borderId="7" xfId="0" applyBorder="1" applyAlignment="1">
      <alignment vertical="top"/>
    </xf>
    <xf numFmtId="166" fontId="0" fillId="0" borderId="8" xfId="0" applyNumberFormat="1" applyBorder="1" applyAlignment="1">
      <alignment horizontal="right" vertical="top"/>
    </xf>
    <xf numFmtId="0" fontId="0" fillId="0" borderId="9" xfId="0" applyBorder="1" applyAlignment="1">
      <alignment vertical="top"/>
    </xf>
    <xf numFmtId="166" fontId="0" fillId="0" borderId="10" xfId="0" applyNumberFormat="1" applyBorder="1" applyAlignment="1">
      <alignment horizontal="right" vertical="top"/>
    </xf>
    <xf numFmtId="166" fontId="0" fillId="0" borderId="11" xfId="0" applyNumberFormat="1" applyBorder="1" applyAlignment="1">
      <alignment horizontal="right" vertical="top"/>
    </xf>
    <xf numFmtId="0" fontId="3" fillId="2" borderId="26" xfId="0" applyFont="1" applyFill="1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7" xfId="0" applyBorder="1" applyAlignment="1">
      <alignment vertical="top"/>
    </xf>
    <xf numFmtId="0" fontId="3" fillId="2" borderId="38" xfId="0" applyFont="1" applyFill="1" applyBorder="1" applyAlignment="1">
      <alignment vertical="top"/>
    </xf>
    <xf numFmtId="3" fontId="0" fillId="0" borderId="2" xfId="0" applyNumberFormat="1" applyBorder="1" applyAlignment="1">
      <alignment horizontal="right" vertical="top"/>
    </xf>
    <xf numFmtId="3" fontId="0" fillId="0" borderId="29" xfId="0" applyNumberFormat="1" applyBorder="1" applyAlignment="1">
      <alignment horizontal="right" vertical="top"/>
    </xf>
    <xf numFmtId="0" fontId="8" fillId="0" borderId="7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166" fontId="0" fillId="0" borderId="2" xfId="0" applyNumberFormat="1" applyBorder="1" applyAlignment="1">
      <alignment horizontal="right" vertical="top"/>
    </xf>
    <xf numFmtId="166" fontId="0" fillId="0" borderId="29" xfId="0" applyNumberFormat="1" applyBorder="1" applyAlignment="1">
      <alignment horizontal="right" vertical="top"/>
    </xf>
    <xf numFmtId="166" fontId="0" fillId="0" borderId="31" xfId="0" applyNumberFormat="1" applyBorder="1"/>
    <xf numFmtId="166" fontId="0" fillId="0" borderId="32" xfId="0" applyNumberFormat="1" applyBorder="1"/>
    <xf numFmtId="166" fontId="0" fillId="0" borderId="33" xfId="0" applyNumberFormat="1" applyBorder="1"/>
    <xf numFmtId="0" fontId="0" fillId="0" borderId="14" xfId="0" applyBorder="1"/>
    <xf numFmtId="10" fontId="0" fillId="0" borderId="15" xfId="0" applyNumberFormat="1" applyBorder="1"/>
    <xf numFmtId="10" fontId="0" fillId="0" borderId="16" xfId="0" applyNumberFormat="1" applyBorder="1"/>
    <xf numFmtId="10" fontId="0" fillId="0" borderId="28" xfId="0" applyNumberFormat="1" applyBorder="1"/>
    <xf numFmtId="10" fontId="0" fillId="0" borderId="0" xfId="1" applyNumberFormat="1" applyFont="1" applyBorder="1"/>
    <xf numFmtId="0" fontId="0" fillId="0" borderId="44" xfId="0" applyFill="1" applyBorder="1"/>
    <xf numFmtId="165" fontId="0" fillId="0" borderId="39" xfId="1" applyNumberFormat="1" applyFont="1" applyBorder="1"/>
    <xf numFmtId="165" fontId="0" fillId="0" borderId="44" xfId="1" applyNumberFormat="1" applyFont="1" applyBorder="1"/>
    <xf numFmtId="165" fontId="0" fillId="0" borderId="45" xfId="1" applyNumberFormat="1" applyFont="1" applyBorder="1"/>
    <xf numFmtId="165" fontId="0" fillId="6" borderId="45" xfId="1" applyNumberFormat="1" applyFont="1" applyFill="1" applyBorder="1"/>
    <xf numFmtId="165" fontId="0" fillId="0" borderId="39" xfId="1" applyNumberFormat="1" applyFont="1" applyFill="1" applyBorder="1"/>
    <xf numFmtId="10" fontId="0" fillId="0" borderId="15" xfId="1" applyNumberFormat="1" applyFont="1" applyBorder="1"/>
    <xf numFmtId="10" fontId="0" fillId="0" borderId="16" xfId="1" applyNumberFormat="1" applyFont="1" applyBorder="1"/>
    <xf numFmtId="10" fontId="0" fillId="0" borderId="28" xfId="1" applyNumberFormat="1" applyFont="1" applyBorder="1"/>
    <xf numFmtId="0" fontId="0" fillId="0" borderId="0" xfId="0" applyFill="1" applyBorder="1" applyAlignment="1">
      <alignment vertical="top"/>
    </xf>
    <xf numFmtId="3" fontId="0" fillId="0" borderId="0" xfId="0" applyNumberFormat="1" applyFill="1" applyBorder="1" applyAlignment="1">
      <alignment horizontal="right" vertical="top"/>
    </xf>
    <xf numFmtId="166" fontId="0" fillId="0" borderId="0" xfId="0" applyNumberFormat="1" applyFill="1" applyBorder="1" applyAlignment="1">
      <alignment horizontal="right" vertical="top"/>
    </xf>
    <xf numFmtId="165" fontId="5" fillId="2" borderId="28" xfId="1" applyNumberFormat="1" applyFont="1" applyFill="1" applyBorder="1" applyAlignment="1">
      <alignment horizontal="center" vertical="top"/>
    </xf>
    <xf numFmtId="0" fontId="0" fillId="0" borderId="4" xfId="0" applyFill="1" applyBorder="1"/>
    <xf numFmtId="165" fontId="0" fillId="0" borderId="6" xfId="1" applyNumberFormat="1" applyFont="1" applyFill="1" applyBorder="1"/>
    <xf numFmtId="165" fontId="0" fillId="0" borderId="4" xfId="1" applyNumberFormat="1" applyFont="1" applyFill="1" applyBorder="1"/>
    <xf numFmtId="165" fontId="0" fillId="0" borderId="5" xfId="1" applyNumberFormat="1" applyFont="1" applyFill="1" applyBorder="1"/>
    <xf numFmtId="0" fontId="0" fillId="0" borderId="7" xfId="0" applyFill="1" applyBorder="1"/>
    <xf numFmtId="165" fontId="0" fillId="0" borderId="8" xfId="1" applyNumberFormat="1" applyFont="1" applyFill="1" applyBorder="1"/>
    <xf numFmtId="165" fontId="0" fillId="0" borderId="7" xfId="1" applyNumberFormat="1" applyFont="1" applyFill="1" applyBorder="1"/>
    <xf numFmtId="165" fontId="0" fillId="0" borderId="1" xfId="1" applyNumberFormat="1" applyFont="1" applyFill="1" applyBorder="1"/>
    <xf numFmtId="0" fontId="0" fillId="0" borderId="24" xfId="0" applyFill="1" applyBorder="1"/>
    <xf numFmtId="165" fontId="0" fillId="0" borderId="25" xfId="1" applyNumberFormat="1" applyFont="1" applyFill="1" applyBorder="1"/>
    <xf numFmtId="165" fontId="0" fillId="0" borderId="24" xfId="1" applyNumberFormat="1" applyFont="1" applyFill="1" applyBorder="1"/>
    <xf numFmtId="165" fontId="0" fillId="0" borderId="13" xfId="1" applyNumberFormat="1" applyFont="1" applyFill="1" applyBorder="1"/>
    <xf numFmtId="165" fontId="7" fillId="0" borderId="13" xfId="1" applyNumberFormat="1" applyFont="1" applyFill="1" applyBorder="1"/>
    <xf numFmtId="165" fontId="0" fillId="0" borderId="45" xfId="1" applyNumberFormat="1" applyFont="1" applyFill="1" applyBorder="1"/>
    <xf numFmtId="10" fontId="0" fillId="4" borderId="15" xfId="1" applyNumberFormat="1" applyFont="1" applyFill="1" applyBorder="1"/>
    <xf numFmtId="10" fontId="0" fillId="4" borderId="16" xfId="1" applyNumberFormat="1" applyFont="1" applyFill="1" applyBorder="1"/>
    <xf numFmtId="10" fontId="0" fillId="6" borderId="15" xfId="1" applyNumberFormat="1" applyFont="1" applyFill="1" applyBorder="1"/>
    <xf numFmtId="10" fontId="0" fillId="5" borderId="15" xfId="1" applyNumberFormat="1" applyFont="1" applyFill="1" applyBorder="1"/>
    <xf numFmtId="165" fontId="0" fillId="0" borderId="8" xfId="1" applyNumberFormat="1" applyFont="1" applyBorder="1" applyAlignment="1">
      <alignment horizontal="right" vertical="top"/>
    </xf>
    <xf numFmtId="165" fontId="0" fillId="0" borderId="2" xfId="1" applyNumberFormat="1" applyFont="1" applyBorder="1" applyAlignment="1">
      <alignment horizontal="right" vertical="top"/>
    </xf>
    <xf numFmtId="165" fontId="0" fillId="0" borderId="1" xfId="1" applyNumberFormat="1" applyFont="1" applyBorder="1" applyAlignment="1">
      <alignment horizontal="right" vertical="top"/>
    </xf>
    <xf numFmtId="165" fontId="0" fillId="0" borderId="11" xfId="1" applyNumberFormat="1" applyFont="1" applyBorder="1" applyAlignment="1">
      <alignment horizontal="right" vertical="top"/>
    </xf>
    <xf numFmtId="165" fontId="0" fillId="0" borderId="29" xfId="1" applyNumberFormat="1" applyFont="1" applyBorder="1" applyAlignment="1">
      <alignment horizontal="right" vertical="top"/>
    </xf>
    <xf numFmtId="165" fontId="0" fillId="0" borderId="10" xfId="1" applyNumberFormat="1" applyFont="1" applyBorder="1" applyAlignment="1">
      <alignment horizontal="right" vertical="top"/>
    </xf>
    <xf numFmtId="165" fontId="0" fillId="0" borderId="31" xfId="1" applyNumberFormat="1" applyFont="1" applyBorder="1"/>
    <xf numFmtId="165" fontId="0" fillId="0" borderId="32" xfId="1" applyNumberFormat="1" applyFont="1" applyBorder="1"/>
    <xf numFmtId="165" fontId="0" fillId="0" borderId="33" xfId="1" applyNumberFormat="1" applyFont="1" applyBorder="1"/>
    <xf numFmtId="165" fontId="0" fillId="5" borderId="10" xfId="1" applyNumberFormat="1" applyFont="1" applyFill="1" applyBorder="1" applyAlignment="1">
      <alignment horizontal="right" vertical="top"/>
    </xf>
    <xf numFmtId="165" fontId="0" fillId="0" borderId="10" xfId="1" applyNumberFormat="1" applyFont="1" applyFill="1" applyBorder="1" applyAlignment="1">
      <alignment horizontal="right" vertical="top"/>
    </xf>
    <xf numFmtId="165" fontId="4" fillId="4" borderId="1" xfId="1" applyNumberFormat="1" applyFont="1" applyFill="1" applyBorder="1" applyAlignment="1">
      <alignment horizontal="right" vertical="top"/>
    </xf>
    <xf numFmtId="165" fontId="4" fillId="4" borderId="10" xfId="1" applyNumberFormat="1" applyFont="1" applyFill="1" applyBorder="1" applyAlignment="1">
      <alignment horizontal="right" vertical="top"/>
    </xf>
    <xf numFmtId="165" fontId="4" fillId="4" borderId="33" xfId="1" applyNumberFormat="1" applyFont="1" applyFill="1" applyBorder="1"/>
    <xf numFmtId="10" fontId="4" fillId="4" borderId="15" xfId="1" applyNumberFormat="1" applyFont="1" applyFill="1" applyBorder="1"/>
    <xf numFmtId="10" fontId="6" fillId="4" borderId="15" xfId="1" applyNumberFormat="1" applyFont="1" applyFill="1" applyBorder="1"/>
    <xf numFmtId="10" fontId="6" fillId="4" borderId="14" xfId="1" applyNumberFormat="1" applyFont="1" applyFill="1" applyBorder="1"/>
    <xf numFmtId="10" fontId="7" fillId="4" borderId="15" xfId="1" applyNumberFormat="1" applyFont="1" applyFill="1" applyBorder="1"/>
    <xf numFmtId="9" fontId="3" fillId="0" borderId="43" xfId="2" applyFont="1" applyBorder="1"/>
    <xf numFmtId="165" fontId="3" fillId="2" borderId="14" xfId="1" applyNumberFormat="1" applyFont="1" applyFill="1" applyBorder="1"/>
    <xf numFmtId="0" fontId="3" fillId="2" borderId="35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165" fontId="3" fillId="2" borderId="18" xfId="1" applyNumberFormat="1" applyFont="1" applyFill="1" applyBorder="1"/>
    <xf numFmtId="9" fontId="3" fillId="0" borderId="46" xfId="2" applyFont="1" applyBorder="1"/>
    <xf numFmtId="0" fontId="0" fillId="0" borderId="47" xfId="0" applyBorder="1"/>
    <xf numFmtId="0" fontId="0" fillId="0" borderId="34" xfId="0" applyBorder="1"/>
    <xf numFmtId="165" fontId="0" fillId="0" borderId="34" xfId="1" applyNumberFormat="1" applyFont="1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40" xfId="0" applyBorder="1"/>
    <xf numFmtId="0" fontId="0" fillId="0" borderId="41" xfId="0" applyBorder="1"/>
    <xf numFmtId="0" fontId="0" fillId="0" borderId="41" xfId="0" applyFill="1" applyBorder="1"/>
    <xf numFmtId="165" fontId="0" fillId="0" borderId="41" xfId="1" applyNumberFormat="1" applyFont="1" applyBorder="1"/>
    <xf numFmtId="10" fontId="0" fillId="0" borderId="41" xfId="1" applyNumberFormat="1" applyFont="1" applyBorder="1"/>
    <xf numFmtId="0" fontId="0" fillId="0" borderId="42" xfId="0" applyBorder="1"/>
    <xf numFmtId="3" fontId="0" fillId="0" borderId="48" xfId="0" applyNumberFormat="1" applyBorder="1" applyAlignment="1">
      <alignment horizontal="right" vertical="top"/>
    </xf>
    <xf numFmtId="0" fontId="9" fillId="0" borderId="34" xfId="0" applyFont="1" applyFill="1" applyBorder="1" applyAlignment="1">
      <alignment horizontal="center"/>
    </xf>
    <xf numFmtId="0" fontId="9" fillId="0" borderId="34" xfId="0" applyFont="1" applyBorder="1" applyAlignment="1">
      <alignment horizontal="center"/>
    </xf>
    <xf numFmtId="9" fontId="6" fillId="4" borderId="35" xfId="0" applyNumberFormat="1" applyFont="1" applyFill="1" applyBorder="1" applyAlignment="1">
      <alignment horizontal="center"/>
    </xf>
    <xf numFmtId="9" fontId="6" fillId="4" borderId="37" xfId="0" applyNumberFormat="1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C00000"/>
      </font>
      <fill>
        <patternFill>
          <bgColor rgb="FFFFCCCC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EC72-2FC9-4B19-970C-41285E069099}">
  <dimension ref="B1:V46"/>
  <sheetViews>
    <sheetView tabSelected="1" topLeftCell="A16" workbookViewId="0">
      <selection activeCell="S46" sqref="S46"/>
    </sheetView>
  </sheetViews>
  <sheetFormatPr defaultRowHeight="15" x14ac:dyDescent="0.25"/>
  <cols>
    <col min="1" max="2" width="3.7109375" style="37" customWidth="1"/>
    <col min="3" max="3" width="8.5703125" style="37" bestFit="1" customWidth="1"/>
    <col min="4" max="4" width="39" style="37" bestFit="1" customWidth="1"/>
    <col min="5" max="5" width="11.140625" style="37" bestFit="1" customWidth="1"/>
    <col min="6" max="6" width="10.5703125" style="41" bestFit="1" customWidth="1"/>
    <col min="7" max="8" width="12.28515625" style="41" bestFit="1" customWidth="1"/>
    <col min="9" max="14" width="13" style="41" bestFit="1" customWidth="1"/>
    <col min="15" max="16" width="12.28515625" style="41" bestFit="1" customWidth="1"/>
    <col min="17" max="18" width="13" style="41" bestFit="1" customWidth="1"/>
    <col min="19" max="19" width="11.5703125" style="41" bestFit="1" customWidth="1"/>
    <col min="20" max="20" width="13" style="41" bestFit="1" customWidth="1"/>
    <col min="21" max="21" width="3.7109375" style="37" customWidth="1"/>
    <col min="22" max="16384" width="9.140625" style="37"/>
  </cols>
  <sheetData>
    <row r="1" spans="2:21" ht="15.75" thickBot="1" x14ac:dyDescent="0.3"/>
    <row r="2" spans="2:21" ht="18.75" x14ac:dyDescent="0.3">
      <c r="B2" s="161"/>
      <c r="C2" s="162"/>
      <c r="D2" s="162"/>
      <c r="E2" s="175" t="s">
        <v>119</v>
      </c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63"/>
      <c r="T2" s="163"/>
      <c r="U2" s="164"/>
    </row>
    <row r="3" spans="2:21" ht="15.75" thickBot="1" x14ac:dyDescent="0.3">
      <c r="B3" s="165"/>
      <c r="D3" s="70" t="s">
        <v>96</v>
      </c>
      <c r="U3" s="166"/>
    </row>
    <row r="4" spans="2:21" ht="15.75" thickBot="1" x14ac:dyDescent="0.3">
      <c r="B4" s="165"/>
      <c r="C4" s="12" t="s">
        <v>0</v>
      </c>
      <c r="D4" s="16" t="s">
        <v>1</v>
      </c>
      <c r="E4" s="12" t="s">
        <v>2</v>
      </c>
      <c r="F4" s="64" t="s">
        <v>88</v>
      </c>
      <c r="G4" s="65" t="s">
        <v>4</v>
      </c>
      <c r="H4" s="66" t="s">
        <v>5</v>
      </c>
      <c r="I4" s="66" t="s">
        <v>6</v>
      </c>
      <c r="J4" s="66" t="s">
        <v>7</v>
      </c>
      <c r="K4" s="66" t="s">
        <v>8</v>
      </c>
      <c r="L4" s="66" t="s">
        <v>9</v>
      </c>
      <c r="M4" s="66" t="s">
        <v>10</v>
      </c>
      <c r="N4" s="66" t="s">
        <v>11</v>
      </c>
      <c r="O4" s="66" t="s">
        <v>12</v>
      </c>
      <c r="P4" s="66" t="s">
        <v>13</v>
      </c>
      <c r="Q4" s="66" t="s">
        <v>14</v>
      </c>
      <c r="R4" s="64" t="s">
        <v>15</v>
      </c>
      <c r="S4" s="67" t="s">
        <v>16</v>
      </c>
      <c r="T4" s="64" t="s">
        <v>17</v>
      </c>
      <c r="U4" s="166"/>
    </row>
    <row r="5" spans="2:21" x14ac:dyDescent="0.25">
      <c r="B5" s="165"/>
      <c r="C5" s="20">
        <v>68116</v>
      </c>
      <c r="D5" s="17" t="s">
        <v>89</v>
      </c>
      <c r="E5" s="20" t="s">
        <v>90</v>
      </c>
      <c r="F5" s="60">
        <v>2</v>
      </c>
      <c r="G5" s="61">
        <v>5805</v>
      </c>
      <c r="H5" s="62">
        <v>5000</v>
      </c>
      <c r="I5" s="62">
        <v>5000</v>
      </c>
      <c r="J5" s="62">
        <v>0</v>
      </c>
      <c r="K5" s="62">
        <v>0</v>
      </c>
      <c r="L5" s="62">
        <v>0</v>
      </c>
      <c r="M5" s="62">
        <v>0</v>
      </c>
      <c r="N5" s="62">
        <v>0</v>
      </c>
      <c r="O5" s="69">
        <v>6000</v>
      </c>
      <c r="P5" s="62">
        <v>0</v>
      </c>
      <c r="Q5" s="69">
        <v>5000</v>
      </c>
      <c r="R5" s="60">
        <v>6000</v>
      </c>
      <c r="S5" s="63">
        <f>SUM(F5:R5)</f>
        <v>32807</v>
      </c>
      <c r="T5" s="60">
        <v>24000</v>
      </c>
      <c r="U5" s="166"/>
    </row>
    <row r="6" spans="2:21" x14ac:dyDescent="0.25">
      <c r="B6" s="165"/>
      <c r="C6" s="22">
        <v>69683</v>
      </c>
      <c r="D6" s="18" t="s">
        <v>91</v>
      </c>
      <c r="E6" s="22" t="s">
        <v>90</v>
      </c>
      <c r="F6" s="43">
        <v>0</v>
      </c>
      <c r="G6" s="53">
        <v>0</v>
      </c>
      <c r="H6" s="42">
        <v>0</v>
      </c>
      <c r="I6" s="42">
        <v>0</v>
      </c>
      <c r="J6" s="42">
        <v>6700</v>
      </c>
      <c r="K6" s="57">
        <v>10000</v>
      </c>
      <c r="L6" s="57">
        <v>6700</v>
      </c>
      <c r="M6" s="42">
        <v>5000</v>
      </c>
      <c r="N6" s="42">
        <v>5000</v>
      </c>
      <c r="O6" s="57">
        <v>5000</v>
      </c>
      <c r="P6" s="42">
        <v>5000</v>
      </c>
      <c r="Q6" s="57">
        <v>5000</v>
      </c>
      <c r="R6" s="43">
        <v>0</v>
      </c>
      <c r="S6" s="50">
        <v>48400</v>
      </c>
      <c r="T6" s="43">
        <v>0</v>
      </c>
      <c r="U6" s="166"/>
    </row>
    <row r="7" spans="2:21" ht="15.75" thickBot="1" x14ac:dyDescent="0.3">
      <c r="B7" s="165"/>
      <c r="C7" s="26">
        <v>69685</v>
      </c>
      <c r="D7" s="33" t="s">
        <v>92</v>
      </c>
      <c r="E7" s="24" t="s">
        <v>90</v>
      </c>
      <c r="F7" s="45">
        <v>80</v>
      </c>
      <c r="G7" s="54">
        <v>0</v>
      </c>
      <c r="H7" s="44">
        <v>0</v>
      </c>
      <c r="I7" s="44">
        <v>5000</v>
      </c>
      <c r="J7" s="44">
        <v>0</v>
      </c>
      <c r="K7" s="58">
        <v>5000</v>
      </c>
      <c r="L7" s="58">
        <v>12000</v>
      </c>
      <c r="M7" s="44">
        <v>0</v>
      </c>
      <c r="N7" s="44">
        <v>0</v>
      </c>
      <c r="O7" s="58">
        <v>11000</v>
      </c>
      <c r="P7" s="44">
        <v>0</v>
      </c>
      <c r="Q7" s="58">
        <v>1995</v>
      </c>
      <c r="R7" s="45">
        <v>0</v>
      </c>
      <c r="S7" s="51">
        <v>35075</v>
      </c>
      <c r="T7" s="45">
        <v>0</v>
      </c>
      <c r="U7" s="166"/>
    </row>
    <row r="8" spans="2:21" ht="15.75" thickBot="1" x14ac:dyDescent="0.3">
      <c r="B8" s="165"/>
      <c r="E8" s="39" t="s">
        <v>98</v>
      </c>
      <c r="F8" s="47">
        <f>SUM(F5:F7)</f>
        <v>82</v>
      </c>
      <c r="G8" s="55">
        <f t="shared" ref="G8:T8" si="0">SUM(G5:G7)</f>
        <v>5805</v>
      </c>
      <c r="H8" s="46">
        <f t="shared" si="0"/>
        <v>5000</v>
      </c>
      <c r="I8" s="46">
        <f t="shared" si="0"/>
        <v>10000</v>
      </c>
      <c r="J8" s="46">
        <f t="shared" si="0"/>
        <v>6700</v>
      </c>
      <c r="K8" s="59">
        <f t="shared" si="0"/>
        <v>15000</v>
      </c>
      <c r="L8" s="59">
        <f t="shared" si="0"/>
        <v>18700</v>
      </c>
      <c r="M8" s="46">
        <f t="shared" si="0"/>
        <v>5000</v>
      </c>
      <c r="N8" s="46">
        <f t="shared" si="0"/>
        <v>5000</v>
      </c>
      <c r="O8" s="59">
        <f t="shared" si="0"/>
        <v>22000</v>
      </c>
      <c r="P8" s="46">
        <f t="shared" si="0"/>
        <v>5000</v>
      </c>
      <c r="Q8" s="59">
        <f t="shared" si="0"/>
        <v>11995</v>
      </c>
      <c r="R8" s="47">
        <f t="shared" si="0"/>
        <v>6000</v>
      </c>
      <c r="S8" s="52">
        <f t="shared" si="0"/>
        <v>116282</v>
      </c>
      <c r="T8" s="47">
        <f t="shared" si="0"/>
        <v>24000</v>
      </c>
      <c r="U8" s="166"/>
    </row>
    <row r="9" spans="2:21" ht="15.75" thickBot="1" x14ac:dyDescent="0.3">
      <c r="B9" s="165"/>
      <c r="E9" s="39" t="s">
        <v>106</v>
      </c>
      <c r="F9" s="47">
        <v>0</v>
      </c>
      <c r="G9" s="114">
        <f>G8/11500</f>
        <v>0.50478260869565217</v>
      </c>
      <c r="H9" s="112">
        <f t="shared" ref="H9" si="1">H8/11500</f>
        <v>0.43478260869565216</v>
      </c>
      <c r="I9" s="112">
        <f t="shared" ref="I9" si="2">I8/11500</f>
        <v>0.86956521739130432</v>
      </c>
      <c r="J9" s="112">
        <f t="shared" ref="J9" si="3">J8/11500</f>
        <v>0.58260869565217388</v>
      </c>
      <c r="K9" s="112">
        <f t="shared" ref="K9" si="4">K8/11500</f>
        <v>1.3043478260869565</v>
      </c>
      <c r="L9" s="112">
        <f t="shared" ref="L9" si="5">L8/11500</f>
        <v>1.6260869565217391</v>
      </c>
      <c r="M9" s="112">
        <f t="shared" ref="M9" si="6">M8/11500</f>
        <v>0.43478260869565216</v>
      </c>
      <c r="N9" s="112">
        <f t="shared" ref="N9" si="7">N8/11500</f>
        <v>0.43478260869565216</v>
      </c>
      <c r="O9" s="112">
        <f t="shared" ref="O9" si="8">O8/11500</f>
        <v>1.9130434782608696</v>
      </c>
      <c r="P9" s="112">
        <f t="shared" ref="P9" si="9">P8/11500</f>
        <v>0.43478260869565216</v>
      </c>
      <c r="Q9" s="112">
        <f t="shared" ref="Q9" si="10">Q8/11500</f>
        <v>1.0430434782608695</v>
      </c>
      <c r="R9" s="113">
        <f t="shared" ref="R9" si="11">R8/11500</f>
        <v>0.52173913043478259</v>
      </c>
      <c r="U9" s="166"/>
    </row>
    <row r="10" spans="2:21" x14ac:dyDescent="0.25">
      <c r="B10" s="165"/>
      <c r="U10" s="166"/>
    </row>
    <row r="11" spans="2:21" ht="15.75" thickBot="1" x14ac:dyDescent="0.3">
      <c r="B11" s="165"/>
      <c r="D11" s="70" t="s">
        <v>97</v>
      </c>
      <c r="U11" s="166"/>
    </row>
    <row r="12" spans="2:21" ht="15.75" thickBot="1" x14ac:dyDescent="0.3">
      <c r="B12" s="165"/>
      <c r="C12" s="12" t="s">
        <v>0</v>
      </c>
      <c r="D12" s="16" t="s">
        <v>1</v>
      </c>
      <c r="E12" s="12" t="s">
        <v>2</v>
      </c>
      <c r="F12" s="64" t="s">
        <v>88</v>
      </c>
      <c r="G12" s="65" t="s">
        <v>4</v>
      </c>
      <c r="H12" s="66" t="s">
        <v>5</v>
      </c>
      <c r="I12" s="66" t="s">
        <v>6</v>
      </c>
      <c r="J12" s="66" t="s">
        <v>7</v>
      </c>
      <c r="K12" s="66" t="s">
        <v>8</v>
      </c>
      <c r="L12" s="66" t="s">
        <v>9</v>
      </c>
      <c r="M12" s="66" t="s">
        <v>10</v>
      </c>
      <c r="N12" s="66" t="s">
        <v>11</v>
      </c>
      <c r="O12" s="66" t="s">
        <v>12</v>
      </c>
      <c r="P12" s="66" t="s">
        <v>13</v>
      </c>
      <c r="Q12" s="66" t="s">
        <v>14</v>
      </c>
      <c r="R12" s="64" t="s">
        <v>15</v>
      </c>
      <c r="S12" s="67" t="s">
        <v>16</v>
      </c>
      <c r="T12" s="68" t="s">
        <v>17</v>
      </c>
      <c r="U12" s="166"/>
    </row>
    <row r="13" spans="2:21" x14ac:dyDescent="0.25">
      <c r="B13" s="165"/>
      <c r="C13" s="20">
        <v>68116</v>
      </c>
      <c r="D13" s="17" t="s">
        <v>89</v>
      </c>
      <c r="E13" s="72" t="s">
        <v>90</v>
      </c>
      <c r="F13" s="73">
        <v>2</v>
      </c>
      <c r="G13" s="74">
        <v>5805</v>
      </c>
      <c r="H13" s="75">
        <v>5000</v>
      </c>
      <c r="I13" s="75">
        <v>5000</v>
      </c>
      <c r="J13" s="75">
        <v>0</v>
      </c>
      <c r="K13" s="75">
        <v>0</v>
      </c>
      <c r="L13" s="75">
        <v>0</v>
      </c>
      <c r="M13" s="75">
        <v>0</v>
      </c>
      <c r="N13" s="76">
        <v>6000</v>
      </c>
      <c r="O13" s="76">
        <v>0</v>
      </c>
      <c r="P13" s="75">
        <v>0</v>
      </c>
      <c r="Q13" s="75">
        <v>5000</v>
      </c>
      <c r="R13" s="73">
        <v>6000</v>
      </c>
      <c r="S13" s="77">
        <v>32807</v>
      </c>
      <c r="T13" s="73">
        <v>24000</v>
      </c>
      <c r="U13" s="166"/>
    </row>
    <row r="14" spans="2:21" x14ac:dyDescent="0.25">
      <c r="B14" s="165"/>
      <c r="C14" s="22">
        <v>69683</v>
      </c>
      <c r="D14" s="18" t="s">
        <v>91</v>
      </c>
      <c r="E14" s="22" t="s">
        <v>90</v>
      </c>
      <c r="F14" s="43">
        <v>0</v>
      </c>
      <c r="G14" s="53">
        <v>0</v>
      </c>
      <c r="H14" s="42">
        <v>0</v>
      </c>
      <c r="I14" s="42">
        <v>0</v>
      </c>
      <c r="J14" s="42">
        <v>6700</v>
      </c>
      <c r="K14" s="48">
        <v>5000</v>
      </c>
      <c r="L14" s="42">
        <v>6700</v>
      </c>
      <c r="M14" s="42">
        <v>5000</v>
      </c>
      <c r="N14" s="42">
        <v>5000</v>
      </c>
      <c r="O14" s="42">
        <v>5000</v>
      </c>
      <c r="P14" s="42">
        <v>5000</v>
      </c>
      <c r="Q14" s="48">
        <v>5000</v>
      </c>
      <c r="R14" s="56">
        <v>0</v>
      </c>
      <c r="S14" s="50">
        <v>48400</v>
      </c>
      <c r="T14" s="43">
        <v>0</v>
      </c>
      <c r="U14" s="166"/>
    </row>
    <row r="15" spans="2:21" ht="15.75" thickBot="1" x14ac:dyDescent="0.3">
      <c r="B15" s="165"/>
      <c r="C15" s="26">
        <v>69685</v>
      </c>
      <c r="D15" s="33" t="s">
        <v>92</v>
      </c>
      <c r="E15" s="24" t="s">
        <v>90</v>
      </c>
      <c r="F15" s="45">
        <v>80</v>
      </c>
      <c r="G15" s="54">
        <v>0</v>
      </c>
      <c r="H15" s="49">
        <v>6000</v>
      </c>
      <c r="I15" s="44">
        <v>5000</v>
      </c>
      <c r="J15" s="49">
        <v>5000</v>
      </c>
      <c r="K15" s="71">
        <v>0</v>
      </c>
      <c r="L15" s="49">
        <v>5000</v>
      </c>
      <c r="M15" s="49">
        <v>6000</v>
      </c>
      <c r="N15" s="44">
        <v>0</v>
      </c>
      <c r="O15" s="49">
        <v>6000</v>
      </c>
      <c r="P15" s="49">
        <v>5000</v>
      </c>
      <c r="Q15" s="44">
        <v>0</v>
      </c>
      <c r="R15" s="45">
        <v>1995</v>
      </c>
      <c r="S15" s="51">
        <v>35075</v>
      </c>
      <c r="T15" s="45">
        <v>0</v>
      </c>
      <c r="U15" s="166"/>
    </row>
    <row r="16" spans="2:21" ht="15.75" thickBot="1" x14ac:dyDescent="0.3">
      <c r="B16" s="165"/>
      <c r="E16" s="106" t="s">
        <v>98</v>
      </c>
      <c r="F16" s="107">
        <f>SUM(F13:F15)</f>
        <v>82</v>
      </c>
      <c r="G16" s="108">
        <f t="shared" ref="G16" si="12">SUM(G13:G15)</f>
        <v>5805</v>
      </c>
      <c r="H16" s="109">
        <f t="shared" ref="H16" si="13">SUM(H13:H15)</f>
        <v>11000</v>
      </c>
      <c r="I16" s="110">
        <f t="shared" ref="I16" si="14">SUM(I13:I15)</f>
        <v>10000</v>
      </c>
      <c r="J16" s="110">
        <f t="shared" ref="J16" si="15">SUM(J13:J15)</f>
        <v>11700</v>
      </c>
      <c r="K16" s="110">
        <f t="shared" ref="K16" si="16">SUM(K13:K15)</f>
        <v>5000</v>
      </c>
      <c r="L16" s="110">
        <f t="shared" ref="L16" si="17">SUM(L13:L15)</f>
        <v>11700</v>
      </c>
      <c r="M16" s="110">
        <f t="shared" ref="M16" si="18">SUM(M13:M15)</f>
        <v>11000</v>
      </c>
      <c r="N16" s="110">
        <f t="shared" ref="N16" si="19">SUM(N13:N15)</f>
        <v>11000</v>
      </c>
      <c r="O16" s="110">
        <f t="shared" ref="O16" si="20">SUM(O13:O15)</f>
        <v>11000</v>
      </c>
      <c r="P16" s="110">
        <f t="shared" ref="P16" si="21">SUM(P13:P15)</f>
        <v>10000</v>
      </c>
      <c r="Q16" s="110">
        <f t="shared" ref="Q16" si="22">SUM(Q13:Q15)</f>
        <v>10000</v>
      </c>
      <c r="R16" s="111">
        <f t="shared" ref="R16" si="23">SUM(R13:R15)</f>
        <v>7995</v>
      </c>
      <c r="S16" s="52">
        <f t="shared" ref="S16" si="24">SUM(S13:S15)</f>
        <v>116282</v>
      </c>
      <c r="T16" s="47">
        <f t="shared" ref="T16" si="25">SUM(T13:T15)</f>
        <v>24000</v>
      </c>
      <c r="U16" s="166"/>
    </row>
    <row r="17" spans="2:21" ht="15.75" thickBot="1" x14ac:dyDescent="0.3">
      <c r="B17" s="165"/>
      <c r="E17" s="39" t="s">
        <v>106</v>
      </c>
      <c r="F17" s="47">
        <v>0</v>
      </c>
      <c r="G17" s="114">
        <f>G16/11500</f>
        <v>0.50478260869565217</v>
      </c>
      <c r="H17" s="112">
        <f t="shared" ref="H17:R17" si="26">H16/11500</f>
        <v>0.95652173913043481</v>
      </c>
      <c r="I17" s="112">
        <f t="shared" si="26"/>
        <v>0.86956521739130432</v>
      </c>
      <c r="J17" s="112">
        <f t="shared" si="26"/>
        <v>1.017391304347826</v>
      </c>
      <c r="K17" s="112">
        <f t="shared" si="26"/>
        <v>0.43478260869565216</v>
      </c>
      <c r="L17" s="112">
        <f t="shared" si="26"/>
        <v>1.017391304347826</v>
      </c>
      <c r="M17" s="112">
        <f t="shared" si="26"/>
        <v>0.95652173913043481</v>
      </c>
      <c r="N17" s="112">
        <f t="shared" si="26"/>
        <v>0.95652173913043481</v>
      </c>
      <c r="O17" s="112">
        <f t="shared" si="26"/>
        <v>0.95652173913043481</v>
      </c>
      <c r="P17" s="112">
        <f t="shared" si="26"/>
        <v>0.86956521739130432</v>
      </c>
      <c r="Q17" s="112">
        <f t="shared" si="26"/>
        <v>0.86956521739130432</v>
      </c>
      <c r="R17" s="113">
        <f t="shared" si="26"/>
        <v>0.69521739130434779</v>
      </c>
      <c r="U17" s="166"/>
    </row>
    <row r="18" spans="2:21" ht="15.75" thickBot="1" x14ac:dyDescent="0.3">
      <c r="B18" s="167"/>
      <c r="C18" s="168"/>
      <c r="D18" s="168"/>
      <c r="E18" s="169"/>
      <c r="F18" s="170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0"/>
      <c r="T18" s="170"/>
      <c r="U18" s="172"/>
    </row>
    <row r="19" spans="2:21" x14ac:dyDescent="0.25">
      <c r="E19" s="38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</row>
    <row r="20" spans="2:21" ht="15.75" thickBot="1" x14ac:dyDescent="0.3">
      <c r="D20" s="70" t="s">
        <v>96</v>
      </c>
    </row>
    <row r="21" spans="2:21" ht="15.75" thickBot="1" x14ac:dyDescent="0.3">
      <c r="C21" s="12" t="s">
        <v>0</v>
      </c>
      <c r="D21" s="16" t="s">
        <v>1</v>
      </c>
      <c r="E21" s="12" t="s">
        <v>2</v>
      </c>
      <c r="F21" s="64" t="s">
        <v>88</v>
      </c>
      <c r="G21" s="65" t="s">
        <v>4</v>
      </c>
      <c r="H21" s="66" t="s">
        <v>5</v>
      </c>
      <c r="I21" s="66" t="s">
        <v>6</v>
      </c>
      <c r="J21" s="66" t="s">
        <v>7</v>
      </c>
      <c r="K21" s="66" t="s">
        <v>8</v>
      </c>
      <c r="L21" s="66" t="s">
        <v>9</v>
      </c>
      <c r="M21" s="66" t="s">
        <v>10</v>
      </c>
      <c r="N21" s="66" t="s">
        <v>11</v>
      </c>
      <c r="O21" s="66" t="s">
        <v>12</v>
      </c>
      <c r="P21" s="66" t="s">
        <v>13</v>
      </c>
      <c r="Q21" s="66" t="s">
        <v>14</v>
      </c>
      <c r="R21" s="64" t="s">
        <v>15</v>
      </c>
      <c r="S21" s="118" t="s">
        <v>16</v>
      </c>
      <c r="T21" s="68" t="s">
        <v>17</v>
      </c>
      <c r="U21" s="115"/>
    </row>
    <row r="22" spans="2:21" x14ac:dyDescent="0.25">
      <c r="C22" s="20" t="s">
        <v>107</v>
      </c>
      <c r="D22" s="17" t="s">
        <v>108</v>
      </c>
      <c r="E22" s="119" t="s">
        <v>90</v>
      </c>
      <c r="F22" s="120">
        <v>0</v>
      </c>
      <c r="G22" s="121">
        <v>2525</v>
      </c>
      <c r="H22" s="122">
        <v>0</v>
      </c>
      <c r="I22" s="122">
        <v>2000</v>
      </c>
      <c r="J22" s="122">
        <v>0</v>
      </c>
      <c r="K22" s="122">
        <v>1000</v>
      </c>
      <c r="L22" s="122">
        <v>0</v>
      </c>
      <c r="M22" s="122">
        <v>0</v>
      </c>
      <c r="N22" s="122">
        <v>0</v>
      </c>
      <c r="O22" s="122">
        <v>0</v>
      </c>
      <c r="P22" s="122">
        <v>0</v>
      </c>
      <c r="Q22" s="122">
        <v>2500</v>
      </c>
      <c r="R22" s="120">
        <v>2500</v>
      </c>
      <c r="S22" s="77">
        <v>10525</v>
      </c>
      <c r="T22" s="73">
        <v>0</v>
      </c>
      <c r="U22" s="116"/>
    </row>
    <row r="23" spans="2:21" x14ac:dyDescent="0.25">
      <c r="C23" s="22" t="s">
        <v>109</v>
      </c>
      <c r="D23" s="18" t="s">
        <v>110</v>
      </c>
      <c r="E23" s="123" t="s">
        <v>90</v>
      </c>
      <c r="F23" s="124">
        <v>0</v>
      </c>
      <c r="G23" s="125">
        <v>0</v>
      </c>
      <c r="H23" s="126">
        <v>0</v>
      </c>
      <c r="I23" s="126">
        <v>0</v>
      </c>
      <c r="J23" s="126">
        <v>0</v>
      </c>
      <c r="K23" s="126">
        <v>0</v>
      </c>
      <c r="L23" s="126">
        <v>0</v>
      </c>
      <c r="M23" s="126">
        <v>0</v>
      </c>
      <c r="N23" s="126">
        <v>0</v>
      </c>
      <c r="O23" s="126">
        <v>0</v>
      </c>
      <c r="P23" s="126">
        <v>0</v>
      </c>
      <c r="Q23" s="126">
        <v>0</v>
      </c>
      <c r="R23" s="124">
        <v>0</v>
      </c>
      <c r="S23" s="50">
        <v>0</v>
      </c>
      <c r="T23" s="43">
        <v>0</v>
      </c>
      <c r="U23" s="117"/>
    </row>
    <row r="24" spans="2:21" ht="15.75" thickBot="1" x14ac:dyDescent="0.3">
      <c r="C24" s="26" t="s">
        <v>111</v>
      </c>
      <c r="D24" s="33" t="s">
        <v>112</v>
      </c>
      <c r="E24" s="127" t="s">
        <v>90</v>
      </c>
      <c r="F24" s="128">
        <v>0</v>
      </c>
      <c r="G24" s="129">
        <v>0</v>
      </c>
      <c r="H24" s="130">
        <v>0</v>
      </c>
      <c r="I24" s="130">
        <v>0</v>
      </c>
      <c r="J24" s="130">
        <v>0</v>
      </c>
      <c r="K24" s="131">
        <v>2500</v>
      </c>
      <c r="L24" s="130">
        <v>0</v>
      </c>
      <c r="M24" s="130">
        <v>0</v>
      </c>
      <c r="N24" s="130">
        <v>0</v>
      </c>
      <c r="O24" s="130">
        <v>0</v>
      </c>
      <c r="P24" s="130">
        <v>2500</v>
      </c>
      <c r="Q24" s="130">
        <v>0</v>
      </c>
      <c r="R24" s="128">
        <v>0</v>
      </c>
      <c r="S24" s="51">
        <v>5000</v>
      </c>
      <c r="T24" s="45">
        <v>0</v>
      </c>
      <c r="U24" s="116"/>
    </row>
    <row r="25" spans="2:21" ht="15.75" thickBot="1" x14ac:dyDescent="0.3">
      <c r="E25" s="106" t="s">
        <v>98</v>
      </c>
      <c r="F25" s="107">
        <f>SUM(F22:F24)</f>
        <v>0</v>
      </c>
      <c r="G25" s="108">
        <f t="shared" ref="G25" si="27">SUM(G22:G24)</f>
        <v>2525</v>
      </c>
      <c r="H25" s="109">
        <f t="shared" ref="H25" si="28">SUM(H22:H24)</f>
        <v>0</v>
      </c>
      <c r="I25" s="132">
        <f t="shared" ref="I25" si="29">SUM(I22:I24)</f>
        <v>2000</v>
      </c>
      <c r="J25" s="132">
        <f t="shared" ref="J25" si="30">SUM(J22:J24)</f>
        <v>0</v>
      </c>
      <c r="K25" s="132">
        <f t="shared" ref="K25" si="31">SUM(K22:K24)</f>
        <v>3500</v>
      </c>
      <c r="L25" s="132">
        <f t="shared" ref="L25" si="32">SUM(L22:L24)</f>
        <v>0</v>
      </c>
      <c r="M25" s="132">
        <f t="shared" ref="M25" si="33">SUM(M22:M24)</f>
        <v>0</v>
      </c>
      <c r="N25" s="132">
        <f t="shared" ref="N25" si="34">SUM(N22:N24)</f>
        <v>0</v>
      </c>
      <c r="O25" s="132">
        <f t="shared" ref="O25" si="35">SUM(O22:O24)</f>
        <v>0</v>
      </c>
      <c r="P25" s="132">
        <f t="shared" ref="P25" si="36">SUM(P22:P24)</f>
        <v>2500</v>
      </c>
      <c r="Q25" s="132">
        <f t="shared" ref="Q25" si="37">SUM(Q22:Q24)</f>
        <v>2500</v>
      </c>
      <c r="R25" s="111">
        <f t="shared" ref="R25" si="38">SUM(R22:R24)</f>
        <v>2500</v>
      </c>
      <c r="S25" s="52"/>
      <c r="T25" s="47"/>
      <c r="U25" s="78"/>
    </row>
    <row r="26" spans="2:21" ht="15.75" thickBot="1" x14ac:dyDescent="0.3">
      <c r="E26" s="39" t="s">
        <v>106</v>
      </c>
      <c r="F26" s="47">
        <v>0</v>
      </c>
      <c r="G26" s="114">
        <f>G25/11500</f>
        <v>0.21956521739130436</v>
      </c>
      <c r="H26" s="112">
        <f t="shared" ref="H26" si="39">H25/11500</f>
        <v>0</v>
      </c>
      <c r="I26" s="112">
        <f t="shared" ref="I26" si="40">I25/11500</f>
        <v>0.17391304347826086</v>
      </c>
      <c r="J26" s="112">
        <f t="shared" ref="J26" si="41">J25/11500</f>
        <v>0</v>
      </c>
      <c r="K26" s="112">
        <f t="shared" ref="K26" si="42">K25/11500</f>
        <v>0.30434782608695654</v>
      </c>
      <c r="L26" s="112">
        <f t="shared" ref="L26" si="43">L25/11500</f>
        <v>0</v>
      </c>
      <c r="M26" s="112">
        <f t="shared" ref="M26" si="44">M25/11500</f>
        <v>0</v>
      </c>
      <c r="N26" s="112">
        <f t="shared" ref="N26" si="45">N25/11500</f>
        <v>0</v>
      </c>
      <c r="O26" s="112">
        <f t="shared" ref="O26" si="46">O25/11500</f>
        <v>0</v>
      </c>
      <c r="P26" s="112">
        <f t="shared" ref="P26" si="47">P25/11500</f>
        <v>0.21739130434782608</v>
      </c>
      <c r="Q26" s="112">
        <f t="shared" ref="Q26" si="48">Q25/11500</f>
        <v>0.21739130434782608</v>
      </c>
      <c r="R26" s="113">
        <f t="shared" ref="R26" si="49">R25/11500</f>
        <v>0.21739130434782608</v>
      </c>
      <c r="U26" s="78"/>
    </row>
    <row r="27" spans="2:21" ht="15.75" thickBot="1" x14ac:dyDescent="0.3">
      <c r="E27" s="38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U27" s="78"/>
    </row>
    <row r="28" spans="2:21" ht="18.75" x14ac:dyDescent="0.3">
      <c r="B28" s="161"/>
      <c r="C28" s="162"/>
      <c r="D28" s="162"/>
      <c r="E28" s="174" t="s">
        <v>118</v>
      </c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63"/>
      <c r="T28" s="163"/>
      <c r="U28" s="173"/>
    </row>
    <row r="29" spans="2:21" ht="15.75" thickBot="1" x14ac:dyDescent="0.3">
      <c r="B29" s="165"/>
      <c r="D29" s="70" t="s">
        <v>96</v>
      </c>
      <c r="U29" s="166"/>
    </row>
    <row r="30" spans="2:21" x14ac:dyDescent="0.25">
      <c r="B30" s="165"/>
      <c r="C30" s="80" t="s">
        <v>0</v>
      </c>
      <c r="D30" s="88" t="s">
        <v>1</v>
      </c>
      <c r="E30" s="80" t="s">
        <v>2</v>
      </c>
      <c r="F30" s="82" t="s">
        <v>88</v>
      </c>
      <c r="G30" s="91" t="s">
        <v>4</v>
      </c>
      <c r="H30" s="81" t="s">
        <v>5</v>
      </c>
      <c r="I30" s="81" t="s">
        <v>6</v>
      </c>
      <c r="J30" s="81" t="s">
        <v>7</v>
      </c>
      <c r="K30" s="81" t="s">
        <v>8</v>
      </c>
      <c r="L30" s="81" t="s">
        <v>9</v>
      </c>
      <c r="M30" s="81" t="s">
        <v>10</v>
      </c>
      <c r="N30" s="81" t="s">
        <v>11</v>
      </c>
      <c r="O30" s="81" t="s">
        <v>12</v>
      </c>
      <c r="P30" s="81" t="s">
        <v>13</v>
      </c>
      <c r="Q30" s="81" t="s">
        <v>14</v>
      </c>
      <c r="R30" s="82" t="s">
        <v>15</v>
      </c>
      <c r="S30" s="91" t="s">
        <v>113</v>
      </c>
      <c r="T30" s="82" t="s">
        <v>17</v>
      </c>
      <c r="U30" s="166"/>
    </row>
    <row r="31" spans="2:21" x14ac:dyDescent="0.25">
      <c r="B31" s="165"/>
      <c r="C31" s="83" t="s">
        <v>101</v>
      </c>
      <c r="D31" s="89" t="s">
        <v>102</v>
      </c>
      <c r="E31" s="94" t="s">
        <v>90</v>
      </c>
      <c r="F31" s="137">
        <v>0</v>
      </c>
      <c r="G31" s="138">
        <v>0</v>
      </c>
      <c r="H31" s="139">
        <v>0</v>
      </c>
      <c r="I31" s="139">
        <v>1500</v>
      </c>
      <c r="J31" s="139">
        <v>1200</v>
      </c>
      <c r="K31" s="148">
        <v>1400</v>
      </c>
      <c r="L31" s="139">
        <v>2500</v>
      </c>
      <c r="M31" s="139">
        <v>0</v>
      </c>
      <c r="N31" s="139">
        <v>2000</v>
      </c>
      <c r="O31" s="139">
        <v>0</v>
      </c>
      <c r="P31" s="139">
        <v>1400</v>
      </c>
      <c r="Q31" s="139">
        <v>0</v>
      </c>
      <c r="R31" s="137">
        <v>0</v>
      </c>
      <c r="S31" s="138">
        <v>10000</v>
      </c>
      <c r="T31" s="137">
        <v>0</v>
      </c>
      <c r="U31" s="166"/>
    </row>
    <row r="32" spans="2:21" ht="15.75" thickBot="1" x14ac:dyDescent="0.3">
      <c r="B32" s="165"/>
      <c r="C32" s="85" t="s">
        <v>103</v>
      </c>
      <c r="D32" s="90" t="s">
        <v>104</v>
      </c>
      <c r="E32" s="95" t="s">
        <v>90</v>
      </c>
      <c r="F32" s="140">
        <v>0</v>
      </c>
      <c r="G32" s="141">
        <v>14000</v>
      </c>
      <c r="H32" s="142">
        <v>6000</v>
      </c>
      <c r="I32" s="142">
        <v>10000</v>
      </c>
      <c r="J32" s="142">
        <v>0</v>
      </c>
      <c r="K32" s="149">
        <v>14000</v>
      </c>
      <c r="L32" s="147">
        <v>0</v>
      </c>
      <c r="M32" s="142">
        <v>7000</v>
      </c>
      <c r="N32" s="142">
        <v>6000</v>
      </c>
      <c r="O32" s="142">
        <v>0</v>
      </c>
      <c r="P32" s="142">
        <v>0</v>
      </c>
      <c r="Q32" s="142">
        <v>0</v>
      </c>
      <c r="R32" s="140">
        <v>8000</v>
      </c>
      <c r="S32" s="141">
        <v>63000</v>
      </c>
      <c r="T32" s="140">
        <v>72000</v>
      </c>
      <c r="U32" s="166"/>
    </row>
    <row r="33" spans="2:22" ht="15.75" thickBot="1" x14ac:dyDescent="0.3">
      <c r="B33" s="165"/>
      <c r="E33" s="36" t="s">
        <v>98</v>
      </c>
      <c r="F33" s="143">
        <f>SUM(F31:F32)</f>
        <v>0</v>
      </c>
      <c r="G33" s="144">
        <f t="shared" ref="G33" si="50">SUM(G31:G32)</f>
        <v>14000</v>
      </c>
      <c r="H33" s="145">
        <f t="shared" ref="H33" si="51">SUM(H31:H32)</f>
        <v>6000</v>
      </c>
      <c r="I33" s="145">
        <f t="shared" ref="I33" si="52">SUM(I31:I32)</f>
        <v>11500</v>
      </c>
      <c r="J33" s="145">
        <f t="shared" ref="J33" si="53">SUM(J31:J32)</f>
        <v>1200</v>
      </c>
      <c r="K33" s="150">
        <f t="shared" ref="K33" si="54">SUM(K31:K32)</f>
        <v>15400</v>
      </c>
      <c r="L33" s="145">
        <f t="shared" ref="L33" si="55">SUM(L31:L32)</f>
        <v>2500</v>
      </c>
      <c r="M33" s="145">
        <f t="shared" ref="M33" si="56">SUM(M31:M32)</f>
        <v>7000</v>
      </c>
      <c r="N33" s="145">
        <f t="shared" ref="N33" si="57">SUM(N31:N32)</f>
        <v>8000</v>
      </c>
      <c r="O33" s="145">
        <f t="shared" ref="O33" si="58">SUM(O31:O32)</f>
        <v>0</v>
      </c>
      <c r="P33" s="145">
        <f t="shared" ref="P33" si="59">SUM(P31:P32)</f>
        <v>1400</v>
      </c>
      <c r="Q33" s="145">
        <f t="shared" ref="Q33" si="60">SUM(Q31:Q32)</f>
        <v>0</v>
      </c>
      <c r="R33" s="143">
        <f t="shared" ref="R33" si="61">SUM(R31:R32)</f>
        <v>8000</v>
      </c>
      <c r="U33" s="166"/>
    </row>
    <row r="34" spans="2:22" ht="15.75" thickBot="1" x14ac:dyDescent="0.3">
      <c r="B34" s="165"/>
      <c r="E34" s="101" t="s">
        <v>105</v>
      </c>
      <c r="F34" s="47">
        <v>0</v>
      </c>
      <c r="G34" s="114">
        <f>G33/19200</f>
        <v>0.72916666666666663</v>
      </c>
      <c r="H34" s="112">
        <f t="shared" ref="H34" si="62">H33/19200</f>
        <v>0.3125</v>
      </c>
      <c r="I34" s="112">
        <f t="shared" ref="I34" si="63">I33/19200</f>
        <v>0.59895833333333337</v>
      </c>
      <c r="J34" s="112">
        <f t="shared" ref="J34" si="64">J33/19200</f>
        <v>6.25E-2</v>
      </c>
      <c r="K34" s="151">
        <f t="shared" ref="K34" si="65">K33/19200</f>
        <v>0.80208333333333337</v>
      </c>
      <c r="L34" s="112">
        <f t="shared" ref="L34" si="66">L33/19200</f>
        <v>0.13020833333333334</v>
      </c>
      <c r="M34" s="112">
        <f t="shared" ref="M34" si="67">M33/19200</f>
        <v>0.36458333333333331</v>
      </c>
      <c r="N34" s="112">
        <f t="shared" ref="N34" si="68">N33/19200</f>
        <v>0.41666666666666669</v>
      </c>
      <c r="O34" s="112">
        <f t="shared" ref="O34" si="69">O33/19200</f>
        <v>0</v>
      </c>
      <c r="P34" s="112">
        <f t="shared" ref="P34" si="70">P33/19200</f>
        <v>7.2916666666666671E-2</v>
      </c>
      <c r="Q34" s="112">
        <f t="shared" ref="Q34" si="71">Q33/19200</f>
        <v>0</v>
      </c>
      <c r="R34" s="113">
        <f t="shared" ref="R34" si="72">R33/19200</f>
        <v>0.41666666666666669</v>
      </c>
      <c r="U34" s="166"/>
    </row>
    <row r="35" spans="2:22" x14ac:dyDescent="0.25">
      <c r="B35" s="165"/>
      <c r="U35" s="166"/>
    </row>
    <row r="36" spans="2:22" ht="15.75" thickBot="1" x14ac:dyDescent="0.3">
      <c r="B36" s="165"/>
      <c r="D36" s="70" t="s">
        <v>97</v>
      </c>
      <c r="U36" s="166"/>
    </row>
    <row r="37" spans="2:22" x14ac:dyDescent="0.25">
      <c r="B37" s="165"/>
      <c r="C37" s="80" t="s">
        <v>0</v>
      </c>
      <c r="D37" s="88" t="s">
        <v>1</v>
      </c>
      <c r="E37" s="80" t="s">
        <v>2</v>
      </c>
      <c r="F37" s="82" t="s">
        <v>88</v>
      </c>
      <c r="G37" s="91" t="s">
        <v>4</v>
      </c>
      <c r="H37" s="81" t="s">
        <v>5</v>
      </c>
      <c r="I37" s="81" t="s">
        <v>6</v>
      </c>
      <c r="J37" s="81" t="s">
        <v>7</v>
      </c>
      <c r="K37" s="81" t="s">
        <v>8</v>
      </c>
      <c r="L37" s="81" t="s">
        <v>9</v>
      </c>
      <c r="M37" s="81" t="s">
        <v>10</v>
      </c>
      <c r="N37" s="81" t="s">
        <v>11</v>
      </c>
      <c r="O37" s="81" t="s">
        <v>12</v>
      </c>
      <c r="P37" s="81" t="s">
        <v>13</v>
      </c>
      <c r="Q37" s="81" t="s">
        <v>14</v>
      </c>
      <c r="R37" s="82" t="s">
        <v>15</v>
      </c>
      <c r="S37" s="91" t="s">
        <v>113</v>
      </c>
      <c r="T37" s="82" t="s">
        <v>17</v>
      </c>
      <c r="U37" s="166"/>
    </row>
    <row r="38" spans="2:22" x14ac:dyDescent="0.25">
      <c r="B38" s="165"/>
      <c r="C38" s="83" t="s">
        <v>101</v>
      </c>
      <c r="D38" s="89" t="s">
        <v>102</v>
      </c>
      <c r="E38" s="94" t="s">
        <v>90</v>
      </c>
      <c r="F38" s="137">
        <v>0</v>
      </c>
      <c r="G38" s="138">
        <v>0</v>
      </c>
      <c r="H38" s="139">
        <v>0</v>
      </c>
      <c r="I38" s="139">
        <v>1500</v>
      </c>
      <c r="J38" s="139">
        <v>1200</v>
      </c>
      <c r="K38" s="139">
        <v>1400</v>
      </c>
      <c r="L38" s="139">
        <v>2500</v>
      </c>
      <c r="M38" s="139">
        <v>0</v>
      </c>
      <c r="N38" s="139">
        <v>2000</v>
      </c>
      <c r="O38" s="139">
        <v>0</v>
      </c>
      <c r="P38" s="139">
        <v>1400</v>
      </c>
      <c r="Q38" s="139">
        <v>0</v>
      </c>
      <c r="R38" s="137">
        <v>0</v>
      </c>
      <c r="S38" s="138">
        <v>10000</v>
      </c>
      <c r="T38" s="137">
        <v>0</v>
      </c>
      <c r="U38" s="166"/>
    </row>
    <row r="39" spans="2:22" ht="15.75" thickBot="1" x14ac:dyDescent="0.3">
      <c r="B39" s="165"/>
      <c r="C39" s="85" t="s">
        <v>103</v>
      </c>
      <c r="D39" s="90" t="s">
        <v>104</v>
      </c>
      <c r="E39" s="95" t="s">
        <v>90</v>
      </c>
      <c r="F39" s="140">
        <v>0</v>
      </c>
      <c r="G39" s="141">
        <v>14000</v>
      </c>
      <c r="H39" s="142">
        <v>6000</v>
      </c>
      <c r="I39" s="146">
        <v>5000</v>
      </c>
      <c r="J39" s="146">
        <v>5000</v>
      </c>
      <c r="K39" s="146">
        <v>7000</v>
      </c>
      <c r="L39" s="146">
        <v>7000</v>
      </c>
      <c r="M39" s="142">
        <v>7000</v>
      </c>
      <c r="N39" s="142">
        <v>6000</v>
      </c>
      <c r="O39" s="142">
        <v>0</v>
      </c>
      <c r="P39" s="142">
        <v>0</v>
      </c>
      <c r="Q39" s="142">
        <v>0</v>
      </c>
      <c r="R39" s="140">
        <v>8000</v>
      </c>
      <c r="S39" s="141">
        <v>63000</v>
      </c>
      <c r="T39" s="140">
        <v>72000</v>
      </c>
      <c r="U39" s="166"/>
    </row>
    <row r="40" spans="2:22" ht="15.75" thickBot="1" x14ac:dyDescent="0.3">
      <c r="B40" s="165"/>
      <c r="E40" s="36" t="s">
        <v>98</v>
      </c>
      <c r="F40" s="143">
        <f>SUM(F38:F39)</f>
        <v>0</v>
      </c>
      <c r="G40" s="144">
        <f t="shared" ref="G40:R40" si="73">SUM(G38:G39)</f>
        <v>14000</v>
      </c>
      <c r="H40" s="145">
        <f t="shared" si="73"/>
        <v>6000</v>
      </c>
      <c r="I40" s="145">
        <f t="shared" si="73"/>
        <v>6500</v>
      </c>
      <c r="J40" s="145">
        <f t="shared" si="73"/>
        <v>6200</v>
      </c>
      <c r="K40" s="145">
        <f t="shared" si="73"/>
        <v>8400</v>
      </c>
      <c r="L40" s="145">
        <f t="shared" si="73"/>
        <v>9500</v>
      </c>
      <c r="M40" s="145">
        <f t="shared" si="73"/>
        <v>7000</v>
      </c>
      <c r="N40" s="145">
        <f t="shared" si="73"/>
        <v>8000</v>
      </c>
      <c r="O40" s="145">
        <f t="shared" si="73"/>
        <v>0</v>
      </c>
      <c r="P40" s="145">
        <f t="shared" si="73"/>
        <v>1400</v>
      </c>
      <c r="Q40" s="145">
        <f t="shared" si="73"/>
        <v>0</v>
      </c>
      <c r="R40" s="143">
        <f t="shared" si="73"/>
        <v>8000</v>
      </c>
      <c r="U40" s="166"/>
    </row>
    <row r="41" spans="2:22" ht="15.75" thickBot="1" x14ac:dyDescent="0.3">
      <c r="B41" s="165"/>
      <c r="E41" s="101" t="s">
        <v>105</v>
      </c>
      <c r="F41" s="47">
        <v>0</v>
      </c>
      <c r="G41" s="114">
        <f>G40/19200</f>
        <v>0.72916666666666663</v>
      </c>
      <c r="H41" s="112">
        <f t="shared" ref="H41:R41" si="74">H40/19200</f>
        <v>0.3125</v>
      </c>
      <c r="I41" s="112">
        <f t="shared" si="74"/>
        <v>0.33854166666666669</v>
      </c>
      <c r="J41" s="112">
        <f t="shared" si="74"/>
        <v>0.32291666666666669</v>
      </c>
      <c r="K41" s="112">
        <f t="shared" si="74"/>
        <v>0.4375</v>
      </c>
      <c r="L41" s="112">
        <f t="shared" si="74"/>
        <v>0.49479166666666669</v>
      </c>
      <c r="M41" s="112">
        <f t="shared" si="74"/>
        <v>0.36458333333333331</v>
      </c>
      <c r="N41" s="112">
        <f t="shared" si="74"/>
        <v>0.41666666666666669</v>
      </c>
      <c r="O41" s="112">
        <f t="shared" si="74"/>
        <v>0</v>
      </c>
      <c r="P41" s="112">
        <f t="shared" si="74"/>
        <v>7.2916666666666671E-2</v>
      </c>
      <c r="Q41" s="112">
        <f t="shared" si="74"/>
        <v>0</v>
      </c>
      <c r="R41" s="113">
        <f t="shared" si="74"/>
        <v>0.41666666666666669</v>
      </c>
      <c r="U41" s="166"/>
    </row>
    <row r="42" spans="2:22" ht="15.75" thickBot="1" x14ac:dyDescent="0.3">
      <c r="B42" s="167"/>
      <c r="C42" s="168"/>
      <c r="D42" s="168"/>
      <c r="E42" s="168"/>
      <c r="F42" s="170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0"/>
      <c r="T42" s="170"/>
      <c r="U42" s="172"/>
    </row>
    <row r="43" spans="2:22" x14ac:dyDescent="0.25"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</row>
    <row r="44" spans="2:22" ht="15.75" thickBot="1" x14ac:dyDescent="0.3"/>
    <row r="45" spans="2:22" ht="15.75" thickBot="1" x14ac:dyDescent="0.3">
      <c r="C45" s="179"/>
      <c r="D45" s="179"/>
      <c r="E45" s="157" t="s">
        <v>120</v>
      </c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58"/>
      <c r="S45" s="156" t="s">
        <v>115</v>
      </c>
      <c r="T45" s="159" t="s">
        <v>116</v>
      </c>
      <c r="U45" s="157" t="s">
        <v>117</v>
      </c>
      <c r="V45" s="158"/>
    </row>
    <row r="46" spans="2:22" ht="15.75" thickBot="1" x14ac:dyDescent="0.3">
      <c r="C46" s="179"/>
      <c r="D46" s="179"/>
      <c r="E46" s="157" t="s">
        <v>114</v>
      </c>
      <c r="F46" s="158"/>
      <c r="G46" s="153">
        <f>G17+G41+G26</f>
        <v>1.453514492753623</v>
      </c>
      <c r="H46" s="133">
        <f t="shared" ref="H46:R46" si="75">H17+H41+H26</f>
        <v>1.2690217391304348</v>
      </c>
      <c r="I46" s="154">
        <f t="shared" si="75"/>
        <v>1.3820199275362319</v>
      </c>
      <c r="J46" s="133">
        <f t="shared" si="75"/>
        <v>1.3403079710144927</v>
      </c>
      <c r="K46" s="154">
        <f t="shared" si="75"/>
        <v>1.1766304347826086</v>
      </c>
      <c r="L46" s="152">
        <f t="shared" si="75"/>
        <v>1.5121829710144927</v>
      </c>
      <c r="M46" s="133">
        <f t="shared" si="75"/>
        <v>1.3211050724637681</v>
      </c>
      <c r="N46" s="152">
        <f t="shared" si="75"/>
        <v>1.3731884057971016</v>
      </c>
      <c r="O46" s="136">
        <f t="shared" si="75"/>
        <v>0.95652173913043481</v>
      </c>
      <c r="P46" s="133">
        <f t="shared" si="75"/>
        <v>1.1598731884057971</v>
      </c>
      <c r="Q46" s="135">
        <f t="shared" si="75"/>
        <v>1.0869565217391304</v>
      </c>
      <c r="R46" s="134">
        <f t="shared" si="75"/>
        <v>1.3292753623188407</v>
      </c>
      <c r="S46" s="155">
        <f>SUM(G46:R46)/COUNT(G46:R46)-1</f>
        <v>0.28004981884057956</v>
      </c>
      <c r="T46" s="160">
        <v>0.16</v>
      </c>
      <c r="U46" s="176">
        <f>S46-T46</f>
        <v>0.12004981884057955</v>
      </c>
      <c r="V46" s="177"/>
    </row>
  </sheetData>
  <mergeCells count="7">
    <mergeCell ref="U45:V45"/>
    <mergeCell ref="U46:V46"/>
    <mergeCell ref="C45:D46"/>
    <mergeCell ref="E45:R45"/>
    <mergeCell ref="E46:F46"/>
    <mergeCell ref="E28:R28"/>
    <mergeCell ref="E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5DDD-A063-44A9-B000-0D66F8D4129C}">
  <dimension ref="A1:R6"/>
  <sheetViews>
    <sheetView workbookViewId="0">
      <selection activeCell="A2" sqref="A2:R6"/>
    </sheetView>
  </sheetViews>
  <sheetFormatPr defaultRowHeight="15" x14ac:dyDescent="0.25"/>
  <cols>
    <col min="1" max="1" width="8.42578125" bestFit="1" customWidth="1"/>
    <col min="2" max="2" width="37.42578125" bestFit="1" customWidth="1"/>
    <col min="3" max="3" width="11.140625" bestFit="1" customWidth="1"/>
    <col min="4" max="4" width="8.7109375" bestFit="1" customWidth="1"/>
    <col min="5" max="5" width="10.140625" bestFit="1" customWidth="1"/>
    <col min="7" max="7" width="10.140625" bestFit="1" customWidth="1"/>
    <col min="9" max="9" width="9.42578125" bestFit="1" customWidth="1"/>
    <col min="10" max="10" width="10.140625" bestFit="1" customWidth="1"/>
    <col min="11" max="11" width="8.28515625" bestFit="1" customWidth="1"/>
    <col min="12" max="12" width="9.28515625" bestFit="1" customWidth="1"/>
    <col min="13" max="13" width="8.5703125" bestFit="1" customWidth="1"/>
    <col min="15" max="15" width="9.5703125" bestFit="1" customWidth="1"/>
    <col min="17" max="17" width="12.7109375" bestFit="1" customWidth="1"/>
    <col min="18" max="18" width="10.140625" bestFit="1" customWidth="1"/>
  </cols>
  <sheetData>
    <row r="1" spans="1:18" ht="15.75" thickBot="1" x14ac:dyDescent="0.3">
      <c r="B1" s="70" t="s">
        <v>99</v>
      </c>
    </row>
    <row r="2" spans="1:18" x14ac:dyDescent="0.25">
      <c r="A2" s="80" t="s">
        <v>0</v>
      </c>
      <c r="B2" s="88" t="s">
        <v>1</v>
      </c>
      <c r="C2" s="80" t="s">
        <v>2</v>
      </c>
      <c r="D2" s="82" t="s">
        <v>88</v>
      </c>
      <c r="E2" s="91" t="s">
        <v>4</v>
      </c>
      <c r="F2" s="81" t="s">
        <v>5</v>
      </c>
      <c r="G2" s="81" t="s">
        <v>6</v>
      </c>
      <c r="H2" s="81" t="s">
        <v>7</v>
      </c>
      <c r="I2" s="81" t="s">
        <v>8</v>
      </c>
      <c r="J2" s="81" t="s">
        <v>9</v>
      </c>
      <c r="K2" s="81" t="s">
        <v>10</v>
      </c>
      <c r="L2" s="81" t="s">
        <v>11</v>
      </c>
      <c r="M2" s="81" t="s">
        <v>12</v>
      </c>
      <c r="N2" s="81" t="s">
        <v>13</v>
      </c>
      <c r="O2" s="81" t="s">
        <v>14</v>
      </c>
      <c r="P2" s="82" t="s">
        <v>15</v>
      </c>
      <c r="Q2" s="91" t="s">
        <v>100</v>
      </c>
      <c r="R2" s="82" t="s">
        <v>17</v>
      </c>
    </row>
    <row r="3" spans="1:18" x14ac:dyDescent="0.25">
      <c r="A3" s="83" t="s">
        <v>101</v>
      </c>
      <c r="B3" s="89" t="s">
        <v>102</v>
      </c>
      <c r="C3" s="94" t="s">
        <v>90</v>
      </c>
      <c r="D3" s="84">
        <v>0</v>
      </c>
      <c r="E3" s="96">
        <v>0</v>
      </c>
      <c r="F3" s="79">
        <v>0</v>
      </c>
      <c r="G3" s="79">
        <v>1500</v>
      </c>
      <c r="H3" s="79">
        <v>1200</v>
      </c>
      <c r="I3" s="79">
        <v>1400</v>
      </c>
      <c r="J3" s="79">
        <v>2500</v>
      </c>
      <c r="K3" s="79">
        <v>0</v>
      </c>
      <c r="L3" s="79">
        <v>2000</v>
      </c>
      <c r="M3" s="79">
        <v>0</v>
      </c>
      <c r="N3" s="79">
        <v>1400</v>
      </c>
      <c r="O3" s="79">
        <v>0</v>
      </c>
      <c r="P3" s="84">
        <v>0</v>
      </c>
      <c r="Q3" s="92">
        <v>10000</v>
      </c>
      <c r="R3" s="84">
        <v>0</v>
      </c>
    </row>
    <row r="4" spans="1:18" ht="15.75" thickBot="1" x14ac:dyDescent="0.3">
      <c r="A4" s="85" t="s">
        <v>103</v>
      </c>
      <c r="B4" s="90" t="s">
        <v>104</v>
      </c>
      <c r="C4" s="95" t="s">
        <v>90</v>
      </c>
      <c r="D4" s="87">
        <v>0</v>
      </c>
      <c r="E4" s="97">
        <v>14000</v>
      </c>
      <c r="F4" s="86">
        <v>6000</v>
      </c>
      <c r="G4" s="86">
        <v>10000</v>
      </c>
      <c r="H4" s="86">
        <v>0</v>
      </c>
      <c r="I4" s="86">
        <v>5000</v>
      </c>
      <c r="J4" s="86">
        <v>14000</v>
      </c>
      <c r="K4" s="86">
        <v>0</v>
      </c>
      <c r="L4" s="86">
        <v>6000</v>
      </c>
      <c r="M4" s="86">
        <v>0</v>
      </c>
      <c r="N4" s="86">
        <v>0</v>
      </c>
      <c r="O4" s="86">
        <v>0</v>
      </c>
      <c r="P4" s="87">
        <v>8000</v>
      </c>
      <c r="Q4" s="93">
        <v>63000</v>
      </c>
      <c r="R4" s="87">
        <v>72000</v>
      </c>
    </row>
    <row r="5" spans="1:18" ht="15.75" thickBot="1" x14ac:dyDescent="0.3">
      <c r="C5" s="36" t="s">
        <v>98</v>
      </c>
      <c r="D5" s="98">
        <f>SUM(D3:D4)</f>
        <v>0</v>
      </c>
      <c r="E5" s="99">
        <f t="shared" ref="E5:P5" si="0">SUM(E3:E4)</f>
        <v>14000</v>
      </c>
      <c r="F5" s="100">
        <f t="shared" si="0"/>
        <v>6000</v>
      </c>
      <c r="G5" s="100">
        <f t="shared" si="0"/>
        <v>11500</v>
      </c>
      <c r="H5" s="100">
        <f t="shared" si="0"/>
        <v>1200</v>
      </c>
      <c r="I5" s="100">
        <f t="shared" si="0"/>
        <v>6400</v>
      </c>
      <c r="J5" s="100">
        <f t="shared" si="0"/>
        <v>16500</v>
      </c>
      <c r="K5" s="100">
        <f t="shared" si="0"/>
        <v>0</v>
      </c>
      <c r="L5" s="100">
        <f t="shared" si="0"/>
        <v>8000</v>
      </c>
      <c r="M5" s="100">
        <f t="shared" si="0"/>
        <v>0</v>
      </c>
      <c r="N5" s="100">
        <f t="shared" si="0"/>
        <v>1400</v>
      </c>
      <c r="O5" s="100">
        <f t="shared" si="0"/>
        <v>0</v>
      </c>
      <c r="P5" s="98">
        <f t="shared" si="0"/>
        <v>8000</v>
      </c>
    </row>
    <row r="6" spans="1:18" ht="15.75" thickBot="1" x14ac:dyDescent="0.3">
      <c r="C6" s="101" t="s">
        <v>105</v>
      </c>
      <c r="D6" s="40">
        <v>0</v>
      </c>
      <c r="E6" s="104">
        <f>E5/19200</f>
        <v>0.72916666666666663</v>
      </c>
      <c r="F6" s="102">
        <f t="shared" ref="F6:P6" si="1">F5/19200</f>
        <v>0.3125</v>
      </c>
      <c r="G6" s="102">
        <f t="shared" si="1"/>
        <v>0.59895833333333337</v>
      </c>
      <c r="H6" s="102">
        <f t="shared" si="1"/>
        <v>6.25E-2</v>
      </c>
      <c r="I6" s="102">
        <f t="shared" si="1"/>
        <v>0.33333333333333331</v>
      </c>
      <c r="J6" s="102">
        <f t="shared" si="1"/>
        <v>0.859375</v>
      </c>
      <c r="K6" s="102">
        <f t="shared" si="1"/>
        <v>0</v>
      </c>
      <c r="L6" s="102">
        <f t="shared" si="1"/>
        <v>0.41666666666666669</v>
      </c>
      <c r="M6" s="102">
        <f t="shared" si="1"/>
        <v>0</v>
      </c>
      <c r="N6" s="102">
        <f t="shared" si="1"/>
        <v>7.2916666666666671E-2</v>
      </c>
      <c r="O6" s="102">
        <f t="shared" si="1"/>
        <v>0</v>
      </c>
      <c r="P6" s="103">
        <f t="shared" si="1"/>
        <v>0.41666666666666669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V834"/>
  <sheetViews>
    <sheetView topLeftCell="D1" workbookViewId="0">
      <selection activeCell="V5" sqref="E2:V5"/>
    </sheetView>
  </sheetViews>
  <sheetFormatPr defaultRowHeight="15" x14ac:dyDescent="0.25"/>
  <cols>
    <col min="1" max="1" width="3.42578125" style="35" customWidth="1"/>
    <col min="2" max="4" width="8.7109375" customWidth="1"/>
    <col min="5" max="5" width="8.5703125" bestFit="1" customWidth="1"/>
    <col min="6" max="6" width="39" bestFit="1" customWidth="1"/>
    <col min="7" max="7" width="11.140625" bestFit="1" customWidth="1"/>
    <col min="8" max="8" width="10.28515625" bestFit="1" customWidth="1"/>
    <col min="9" max="20" width="12.7109375" bestFit="1" customWidth="1"/>
    <col min="21" max="21" width="8" bestFit="1" customWidth="1"/>
    <col min="22" max="22" width="12.7109375" bestFit="1" customWidth="1"/>
    <col min="23" max="100" width="9.140625" style="35"/>
  </cols>
  <sheetData>
    <row r="1" spans="2:22" s="35" customFormat="1" ht="15.75" thickBot="1" x14ac:dyDescent="0.3"/>
    <row r="2" spans="2:22" ht="50.1" customHeight="1" thickBot="1" x14ac:dyDescent="0.3">
      <c r="B2" s="5" t="s">
        <v>93</v>
      </c>
      <c r="C2" s="6" t="s">
        <v>94</v>
      </c>
      <c r="D2" s="28" t="s">
        <v>95</v>
      </c>
      <c r="E2" s="12" t="s">
        <v>0</v>
      </c>
      <c r="F2" s="14" t="s">
        <v>1</v>
      </c>
      <c r="G2" s="12" t="s">
        <v>2</v>
      </c>
      <c r="H2" s="14" t="s">
        <v>88</v>
      </c>
      <c r="I2" s="31" t="s">
        <v>4</v>
      </c>
      <c r="J2" s="13" t="s">
        <v>5</v>
      </c>
      <c r="K2" s="13" t="s">
        <v>6</v>
      </c>
      <c r="L2" s="13" t="s">
        <v>7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6" t="s">
        <v>15</v>
      </c>
      <c r="U2" s="12" t="s">
        <v>16</v>
      </c>
      <c r="V2" s="14" t="s">
        <v>17</v>
      </c>
    </row>
    <row r="3" spans="2:22" x14ac:dyDescent="0.25">
      <c r="B3" s="7"/>
      <c r="C3" s="1"/>
      <c r="D3" s="29"/>
      <c r="E3" s="20">
        <v>68116</v>
      </c>
      <c r="F3" s="21" t="s">
        <v>89</v>
      </c>
      <c r="G3" s="20" t="s">
        <v>90</v>
      </c>
      <c r="H3" s="21">
        <v>2</v>
      </c>
      <c r="I3" s="15">
        <v>5805</v>
      </c>
      <c r="J3" s="4">
        <v>5000</v>
      </c>
      <c r="K3" s="4">
        <v>5000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6000</v>
      </c>
      <c r="R3" s="4">
        <v>0</v>
      </c>
      <c r="S3" s="4">
        <v>5000</v>
      </c>
      <c r="T3" s="17">
        <v>6000</v>
      </c>
      <c r="U3" s="20">
        <v>32807</v>
      </c>
      <c r="V3" s="21">
        <v>24000</v>
      </c>
    </row>
    <row r="4" spans="2:22" x14ac:dyDescent="0.25">
      <c r="B4" s="7"/>
      <c r="C4" s="1"/>
      <c r="D4" s="29"/>
      <c r="E4" s="22">
        <v>69683</v>
      </c>
      <c r="F4" s="23" t="s">
        <v>91</v>
      </c>
      <c r="G4" s="22" t="s">
        <v>90</v>
      </c>
      <c r="H4" s="23">
        <v>0</v>
      </c>
      <c r="I4" s="3">
        <v>0</v>
      </c>
      <c r="J4" s="2">
        <v>0</v>
      </c>
      <c r="K4" s="2">
        <v>0</v>
      </c>
      <c r="L4" s="2">
        <v>6700</v>
      </c>
      <c r="M4" s="2">
        <v>10000</v>
      </c>
      <c r="N4" s="2">
        <v>6700</v>
      </c>
      <c r="O4" s="2">
        <v>5000</v>
      </c>
      <c r="P4" s="2">
        <v>5000</v>
      </c>
      <c r="Q4" s="2">
        <v>5000</v>
      </c>
      <c r="R4" s="2">
        <v>5000</v>
      </c>
      <c r="S4" s="2">
        <v>5000</v>
      </c>
      <c r="T4" s="18">
        <v>0</v>
      </c>
      <c r="U4" s="22">
        <v>48400</v>
      </c>
      <c r="V4" s="23">
        <v>0</v>
      </c>
    </row>
    <row r="5" spans="2:22" ht="15.75" thickBot="1" x14ac:dyDescent="0.3">
      <c r="B5" s="7"/>
      <c r="C5" s="1"/>
      <c r="D5" s="29"/>
      <c r="E5" s="24">
        <v>69685</v>
      </c>
      <c r="F5" s="25" t="s">
        <v>92</v>
      </c>
      <c r="G5" s="24" t="s">
        <v>90</v>
      </c>
      <c r="H5" s="25">
        <v>80</v>
      </c>
      <c r="I5" s="10">
        <v>0</v>
      </c>
      <c r="J5" s="11">
        <v>0</v>
      </c>
      <c r="K5" s="11">
        <v>5000</v>
      </c>
      <c r="L5" s="11">
        <v>0</v>
      </c>
      <c r="M5" s="11">
        <v>5000</v>
      </c>
      <c r="N5" s="11">
        <v>12000</v>
      </c>
      <c r="O5" s="11">
        <v>0</v>
      </c>
      <c r="P5" s="11">
        <v>0</v>
      </c>
      <c r="Q5" s="11">
        <v>11000</v>
      </c>
      <c r="R5" s="11">
        <v>0</v>
      </c>
      <c r="S5" s="11">
        <v>1995</v>
      </c>
      <c r="T5" s="19">
        <v>0</v>
      </c>
      <c r="U5" s="24">
        <v>35075</v>
      </c>
      <c r="V5" s="25">
        <v>0</v>
      </c>
    </row>
    <row r="6" spans="2:22" ht="50.1" customHeight="1" thickBot="1" x14ac:dyDescent="0.3">
      <c r="B6" s="8"/>
      <c r="C6" s="9"/>
      <c r="D6" s="30"/>
      <c r="E6" s="12" t="s">
        <v>0</v>
      </c>
      <c r="F6" s="14" t="s">
        <v>1</v>
      </c>
      <c r="G6" s="12" t="s">
        <v>2</v>
      </c>
      <c r="H6" s="14" t="s">
        <v>3</v>
      </c>
      <c r="I6" s="31" t="s">
        <v>4</v>
      </c>
      <c r="J6" s="13" t="s">
        <v>5</v>
      </c>
      <c r="K6" s="13" t="s">
        <v>6</v>
      </c>
      <c r="L6" s="13" t="s">
        <v>7</v>
      </c>
      <c r="M6" s="13" t="s">
        <v>8</v>
      </c>
      <c r="N6" s="13" t="s">
        <v>9</v>
      </c>
      <c r="O6" s="13" t="s">
        <v>10</v>
      </c>
      <c r="P6" s="13" t="s">
        <v>11</v>
      </c>
      <c r="Q6" s="13" t="s">
        <v>12</v>
      </c>
      <c r="R6" s="13" t="s">
        <v>13</v>
      </c>
      <c r="S6" s="13" t="s">
        <v>14</v>
      </c>
      <c r="T6" s="16" t="s">
        <v>15</v>
      </c>
      <c r="U6" s="12" t="s">
        <v>16</v>
      </c>
      <c r="V6" s="14" t="s">
        <v>17</v>
      </c>
    </row>
    <row r="7" spans="2:22" x14ac:dyDescent="0.25">
      <c r="B7" s="20">
        <v>1.2999999999999999E-2</v>
      </c>
      <c r="C7" s="4">
        <v>1.2999999999999999E-2</v>
      </c>
      <c r="D7" s="17">
        <v>1.2999999999999999E-2</v>
      </c>
      <c r="E7" s="20">
        <v>59136</v>
      </c>
      <c r="F7" s="21" t="s">
        <v>56</v>
      </c>
      <c r="G7" s="20" t="s">
        <v>19</v>
      </c>
      <c r="H7" s="21">
        <v>44</v>
      </c>
      <c r="I7" s="15">
        <v>110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17">
        <v>0</v>
      </c>
      <c r="U7" s="20">
        <v>110</v>
      </c>
      <c r="V7" s="21">
        <v>0</v>
      </c>
    </row>
    <row r="8" spans="2:22" x14ac:dyDescent="0.25">
      <c r="B8" s="22">
        <v>1.2999999999999999E-2</v>
      </c>
      <c r="C8" s="2">
        <v>1.2999999999999999E-2</v>
      </c>
      <c r="D8" s="18">
        <v>1.2999999999999999E-2</v>
      </c>
      <c r="E8" s="22">
        <v>59136</v>
      </c>
      <c r="F8" s="23" t="s">
        <v>56</v>
      </c>
      <c r="G8" s="22" t="s">
        <v>20</v>
      </c>
      <c r="H8" s="23">
        <v>44</v>
      </c>
      <c r="I8" s="3">
        <v>-137</v>
      </c>
      <c r="J8" s="2">
        <v>-527</v>
      </c>
      <c r="K8" s="2">
        <v>-599</v>
      </c>
      <c r="L8" s="2">
        <v>-1096</v>
      </c>
      <c r="M8" s="2">
        <v>-1516</v>
      </c>
      <c r="N8" s="2">
        <v>-1796</v>
      </c>
      <c r="O8" s="2">
        <v>-1991</v>
      </c>
      <c r="P8" s="2">
        <v>-2160</v>
      </c>
      <c r="Q8" s="2">
        <v>-2413</v>
      </c>
      <c r="R8" s="2">
        <v>-2537</v>
      </c>
      <c r="S8" s="2">
        <v>-2765</v>
      </c>
      <c r="T8" s="18">
        <v>-2987</v>
      </c>
      <c r="U8" s="22">
        <v>0</v>
      </c>
      <c r="V8" s="23">
        <v>-4131</v>
      </c>
    </row>
    <row r="9" spans="2:22" x14ac:dyDescent="0.25">
      <c r="B9" s="22">
        <v>3.7999999999999999E-2</v>
      </c>
      <c r="C9" s="2">
        <v>3.7999999999999999E-2</v>
      </c>
      <c r="D9" s="18">
        <v>3.7999999999999999E-2</v>
      </c>
      <c r="E9" s="22">
        <v>59139</v>
      </c>
      <c r="F9" s="23" t="s">
        <v>59</v>
      </c>
      <c r="G9" s="22" t="s">
        <v>19</v>
      </c>
      <c r="H9" s="23">
        <v>242</v>
      </c>
      <c r="I9" s="3">
        <v>700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18">
        <v>0</v>
      </c>
      <c r="U9" s="22">
        <v>700</v>
      </c>
      <c r="V9" s="23">
        <v>0</v>
      </c>
    </row>
    <row r="10" spans="2:22" x14ac:dyDescent="0.25">
      <c r="B10" s="22">
        <v>3.7999999999999999E-2</v>
      </c>
      <c r="C10" s="2">
        <v>3.7999999999999999E-2</v>
      </c>
      <c r="D10" s="18">
        <v>3.7999999999999999E-2</v>
      </c>
      <c r="E10" s="22">
        <v>59139</v>
      </c>
      <c r="F10" s="23" t="s">
        <v>59</v>
      </c>
      <c r="G10" s="22" t="s">
        <v>20</v>
      </c>
      <c r="H10" s="23">
        <v>242</v>
      </c>
      <c r="I10" s="3">
        <v>118</v>
      </c>
      <c r="J10" s="2">
        <v>-1022</v>
      </c>
      <c r="K10" s="2">
        <v>-1231</v>
      </c>
      <c r="L10" s="2">
        <v>-2679</v>
      </c>
      <c r="M10" s="2">
        <v>-3903</v>
      </c>
      <c r="N10" s="2">
        <v>-4720</v>
      </c>
      <c r="O10" s="2">
        <v>-5290</v>
      </c>
      <c r="P10" s="2">
        <v>-5784</v>
      </c>
      <c r="Q10" s="2">
        <v>-6522</v>
      </c>
      <c r="R10" s="2">
        <v>-6883</v>
      </c>
      <c r="S10" s="2">
        <v>-7548</v>
      </c>
      <c r="T10" s="18">
        <v>-8195</v>
      </c>
      <c r="U10" s="22">
        <v>0</v>
      </c>
      <c r="V10" s="23">
        <v>-11539</v>
      </c>
    </row>
    <row r="11" spans="2:22" x14ac:dyDescent="0.25">
      <c r="B11" s="22">
        <v>0.1</v>
      </c>
      <c r="C11" s="2">
        <v>0.1</v>
      </c>
      <c r="D11" s="18">
        <v>0.1</v>
      </c>
      <c r="E11" s="22">
        <v>59137</v>
      </c>
      <c r="F11" s="23" t="s">
        <v>57</v>
      </c>
      <c r="G11" s="22" t="s">
        <v>19</v>
      </c>
      <c r="H11" s="23">
        <v>300</v>
      </c>
      <c r="I11" s="3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18">
        <v>0</v>
      </c>
      <c r="U11" s="22">
        <v>0</v>
      </c>
      <c r="V11" s="23">
        <v>0</v>
      </c>
    </row>
    <row r="12" spans="2:22" x14ac:dyDescent="0.25">
      <c r="B12" s="22">
        <v>0.1</v>
      </c>
      <c r="C12" s="2">
        <v>0.1</v>
      </c>
      <c r="D12" s="18">
        <v>0.1</v>
      </c>
      <c r="E12" s="22">
        <v>59137</v>
      </c>
      <c r="F12" s="23" t="s">
        <v>57</v>
      </c>
      <c r="G12" s="22" t="s">
        <v>20</v>
      </c>
      <c r="H12" s="23">
        <v>300</v>
      </c>
      <c r="I12" s="3">
        <v>-3122</v>
      </c>
      <c r="J12" s="2">
        <v>-6192</v>
      </c>
      <c r="K12" s="2">
        <v>-6792</v>
      </c>
      <c r="L12" s="2">
        <v>-10871</v>
      </c>
      <c r="M12" s="2">
        <v>-14491</v>
      </c>
      <c r="N12" s="2">
        <v>-16841</v>
      </c>
      <c r="O12" s="2">
        <v>-18541</v>
      </c>
      <c r="P12" s="2">
        <v>-20041</v>
      </c>
      <c r="Q12" s="2">
        <v>-22181</v>
      </c>
      <c r="R12" s="2">
        <v>-23331</v>
      </c>
      <c r="S12" s="2">
        <v>-25081</v>
      </c>
      <c r="T12" s="18">
        <v>-26832</v>
      </c>
      <c r="U12" s="22">
        <v>0</v>
      </c>
      <c r="V12" s="23">
        <v>-35632</v>
      </c>
    </row>
    <row r="13" spans="2:22" x14ac:dyDescent="0.25">
      <c r="B13" s="22">
        <v>1</v>
      </c>
      <c r="C13" s="2">
        <v>1</v>
      </c>
      <c r="D13" s="18">
        <v>1</v>
      </c>
      <c r="E13" s="22">
        <v>60058</v>
      </c>
      <c r="F13" s="23" t="s">
        <v>70</v>
      </c>
      <c r="G13" s="22" t="s">
        <v>19</v>
      </c>
      <c r="H13" s="23">
        <v>303</v>
      </c>
      <c r="I13" s="3">
        <v>0</v>
      </c>
      <c r="J13" s="2">
        <v>0</v>
      </c>
      <c r="K13" s="2">
        <v>25000</v>
      </c>
      <c r="L13" s="2">
        <v>25000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18">
        <v>0</v>
      </c>
      <c r="U13" s="22">
        <v>50000</v>
      </c>
      <c r="V13" s="23">
        <v>0</v>
      </c>
    </row>
    <row r="14" spans="2:22" x14ac:dyDescent="0.25">
      <c r="B14" s="22">
        <v>1</v>
      </c>
      <c r="C14" s="2">
        <v>1</v>
      </c>
      <c r="D14" s="18">
        <v>1</v>
      </c>
      <c r="E14" s="22">
        <v>60058</v>
      </c>
      <c r="F14" s="23" t="s">
        <v>70</v>
      </c>
      <c r="G14" s="22" t="s">
        <v>20</v>
      </c>
      <c r="H14" s="23">
        <v>303</v>
      </c>
      <c r="I14" s="3">
        <v>-9776</v>
      </c>
      <c r="J14" s="2">
        <v>-14776</v>
      </c>
      <c r="K14" s="2">
        <v>5224</v>
      </c>
      <c r="L14" s="2">
        <v>8524</v>
      </c>
      <c r="M14" s="2">
        <v>-4176</v>
      </c>
      <c r="N14" s="2">
        <v>-15176</v>
      </c>
      <c r="O14" s="2">
        <v>-20176</v>
      </c>
      <c r="P14" s="2">
        <v>-31176</v>
      </c>
      <c r="Q14" s="2">
        <v>-47176</v>
      </c>
      <c r="R14" s="2">
        <v>-52176</v>
      </c>
      <c r="S14" s="2">
        <v>-59171</v>
      </c>
      <c r="T14" s="18">
        <v>-65171</v>
      </c>
      <c r="U14" s="22">
        <v>0</v>
      </c>
      <c r="V14" s="23">
        <v>-89171</v>
      </c>
    </row>
    <row r="15" spans="2:22" x14ac:dyDescent="0.25">
      <c r="B15" s="22">
        <v>0.17499999999999999</v>
      </c>
      <c r="C15" s="2">
        <v>0.17499999999999999</v>
      </c>
      <c r="D15" s="18">
        <v>0.17499999999999999</v>
      </c>
      <c r="E15" s="22">
        <v>59138</v>
      </c>
      <c r="F15" s="23" t="s">
        <v>58</v>
      </c>
      <c r="G15" s="22" t="s">
        <v>19</v>
      </c>
      <c r="H15" s="23">
        <v>1327</v>
      </c>
      <c r="I15" s="3">
        <v>3000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18">
        <v>0</v>
      </c>
      <c r="U15" s="22">
        <v>3000</v>
      </c>
      <c r="V15" s="23">
        <v>0</v>
      </c>
    </row>
    <row r="16" spans="2:22" x14ac:dyDescent="0.25">
      <c r="B16" s="22">
        <v>0.17499999999999999</v>
      </c>
      <c r="C16" s="2">
        <v>0.17499999999999999</v>
      </c>
      <c r="D16" s="18">
        <v>0.17499999999999999</v>
      </c>
      <c r="E16" s="22">
        <v>59138</v>
      </c>
      <c r="F16" s="23" t="s">
        <v>58</v>
      </c>
      <c r="G16" s="22" t="s">
        <v>20</v>
      </c>
      <c r="H16" s="23">
        <v>1327</v>
      </c>
      <c r="I16" s="3">
        <v>464</v>
      </c>
      <c r="J16" s="2">
        <v>-4786</v>
      </c>
      <c r="K16" s="2">
        <v>-5749</v>
      </c>
      <c r="L16" s="2">
        <v>-12408</v>
      </c>
      <c r="M16" s="2">
        <v>-18044</v>
      </c>
      <c r="N16" s="2">
        <v>-21807</v>
      </c>
      <c r="O16" s="2">
        <v>-24432</v>
      </c>
      <c r="P16" s="2">
        <v>-26707</v>
      </c>
      <c r="Q16" s="2">
        <v>-30102</v>
      </c>
      <c r="R16" s="2">
        <v>-31765</v>
      </c>
      <c r="S16" s="2">
        <v>-34828</v>
      </c>
      <c r="T16" s="18">
        <v>-37805</v>
      </c>
      <c r="U16" s="22">
        <v>0</v>
      </c>
      <c r="V16" s="23">
        <v>-53205</v>
      </c>
    </row>
    <row r="17" spans="2:22" x14ac:dyDescent="0.25">
      <c r="B17" s="22">
        <v>1</v>
      </c>
      <c r="C17" s="2">
        <v>1</v>
      </c>
      <c r="D17" s="18">
        <v>1</v>
      </c>
      <c r="E17" s="22">
        <v>57109</v>
      </c>
      <c r="F17" s="23" t="s">
        <v>48</v>
      </c>
      <c r="G17" s="22" t="s">
        <v>19</v>
      </c>
      <c r="H17" s="23">
        <v>3492</v>
      </c>
      <c r="I17" s="3">
        <v>0</v>
      </c>
      <c r="J17" s="2">
        <v>2500</v>
      </c>
      <c r="K17" s="2">
        <v>25000</v>
      </c>
      <c r="L17" s="2">
        <v>27000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18">
        <v>0</v>
      </c>
      <c r="U17" s="22">
        <v>54500</v>
      </c>
      <c r="V17" s="23">
        <v>0</v>
      </c>
    </row>
    <row r="18" spans="2:22" x14ac:dyDescent="0.25">
      <c r="B18" s="22">
        <v>1</v>
      </c>
      <c r="C18" s="2">
        <v>1</v>
      </c>
      <c r="D18" s="18">
        <v>1</v>
      </c>
      <c r="E18" s="22">
        <v>57109</v>
      </c>
      <c r="F18" s="23" t="s">
        <v>48</v>
      </c>
      <c r="G18" s="22" t="s">
        <v>20</v>
      </c>
      <c r="H18" s="23">
        <v>3492</v>
      </c>
      <c r="I18" s="3">
        <v>-1933</v>
      </c>
      <c r="J18" s="2">
        <v>-4433</v>
      </c>
      <c r="K18" s="2">
        <v>15567</v>
      </c>
      <c r="L18" s="2">
        <v>20867</v>
      </c>
      <c r="M18" s="2">
        <v>8167</v>
      </c>
      <c r="N18" s="2">
        <v>-2833</v>
      </c>
      <c r="O18" s="2">
        <v>-7833</v>
      </c>
      <c r="P18" s="2">
        <v>-18833</v>
      </c>
      <c r="Q18" s="2">
        <v>-34833</v>
      </c>
      <c r="R18" s="2">
        <v>-39833</v>
      </c>
      <c r="S18" s="2">
        <v>-46828</v>
      </c>
      <c r="T18" s="18">
        <v>-52828</v>
      </c>
      <c r="U18" s="22">
        <v>0</v>
      </c>
      <c r="V18" s="23">
        <v>-76828</v>
      </c>
    </row>
    <row r="19" spans="2:22" x14ac:dyDescent="0.25">
      <c r="B19" s="22">
        <v>1</v>
      </c>
      <c r="C19" s="2">
        <v>1</v>
      </c>
      <c r="D19" s="18">
        <v>1</v>
      </c>
      <c r="E19" s="22">
        <v>62226</v>
      </c>
      <c r="F19" s="23" t="s">
        <v>76</v>
      </c>
      <c r="G19" s="22" t="s">
        <v>19</v>
      </c>
      <c r="H19" s="23">
        <v>8803</v>
      </c>
      <c r="I19" s="3">
        <v>19200</v>
      </c>
      <c r="J19" s="2">
        <v>28800</v>
      </c>
      <c r="K19" s="2">
        <v>0</v>
      </c>
      <c r="L19" s="2">
        <v>28800</v>
      </c>
      <c r="M19" s="2">
        <v>0</v>
      </c>
      <c r="N19" s="2">
        <v>0</v>
      </c>
      <c r="O19" s="2">
        <v>24000</v>
      </c>
      <c r="P19" s="2">
        <v>24000</v>
      </c>
      <c r="Q19" s="2">
        <v>24000</v>
      </c>
      <c r="R19" s="2">
        <v>19200</v>
      </c>
      <c r="S19" s="2">
        <v>24000</v>
      </c>
      <c r="T19" s="18">
        <v>24000</v>
      </c>
      <c r="U19" s="22">
        <v>216000</v>
      </c>
      <c r="V19" s="23">
        <v>0</v>
      </c>
    </row>
    <row r="20" spans="2:22" x14ac:dyDescent="0.25">
      <c r="B20" s="22">
        <v>1</v>
      </c>
      <c r="C20" s="2">
        <v>1</v>
      </c>
      <c r="D20" s="18">
        <v>1</v>
      </c>
      <c r="E20" s="22">
        <v>62226</v>
      </c>
      <c r="F20" s="23" t="s">
        <v>76</v>
      </c>
      <c r="G20" s="22" t="s">
        <v>20</v>
      </c>
      <c r="H20" s="23">
        <v>8803</v>
      </c>
      <c r="I20" s="3">
        <v>-26256</v>
      </c>
      <c r="J20" s="2">
        <v>-2456</v>
      </c>
      <c r="K20" s="2">
        <v>-7956</v>
      </c>
      <c r="L20" s="2">
        <v>-7201</v>
      </c>
      <c r="M20" s="2">
        <v>-39401</v>
      </c>
      <c r="N20" s="2">
        <v>-60901</v>
      </c>
      <c r="O20" s="2">
        <v>-51901</v>
      </c>
      <c r="P20" s="2">
        <v>-40901</v>
      </c>
      <c r="Q20" s="2">
        <v>-36301</v>
      </c>
      <c r="R20" s="2">
        <v>-26601</v>
      </c>
      <c r="S20" s="2">
        <v>-20096</v>
      </c>
      <c r="T20" s="18">
        <v>-13101</v>
      </c>
      <c r="U20" s="22">
        <v>0</v>
      </c>
      <c r="V20" s="23">
        <v>-101101</v>
      </c>
    </row>
    <row r="21" spans="2:22" x14ac:dyDescent="0.25">
      <c r="B21" s="22">
        <v>0</v>
      </c>
      <c r="C21" s="2">
        <v>0</v>
      </c>
      <c r="D21" s="18">
        <v>2</v>
      </c>
      <c r="E21" s="22">
        <v>69415</v>
      </c>
      <c r="F21" s="23" t="s">
        <v>82</v>
      </c>
      <c r="G21" s="22" t="s">
        <v>19</v>
      </c>
      <c r="H21" s="23">
        <v>9831</v>
      </c>
      <c r="I21" s="3">
        <v>0</v>
      </c>
      <c r="J21" s="2">
        <v>10000</v>
      </c>
      <c r="K21" s="2">
        <v>10000</v>
      </c>
      <c r="L21" s="2">
        <v>10000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5000</v>
      </c>
      <c r="T21" s="18">
        <v>0</v>
      </c>
      <c r="U21" s="22">
        <v>35000</v>
      </c>
      <c r="V21" s="23">
        <v>42500</v>
      </c>
    </row>
    <row r="22" spans="2:22" x14ac:dyDescent="0.25">
      <c r="B22" s="22">
        <v>0</v>
      </c>
      <c r="C22" s="2">
        <v>0</v>
      </c>
      <c r="D22" s="18">
        <v>2</v>
      </c>
      <c r="E22" s="22">
        <v>69415</v>
      </c>
      <c r="F22" s="23" t="s">
        <v>82</v>
      </c>
      <c r="G22" s="22" t="s">
        <v>20</v>
      </c>
      <c r="H22" s="23">
        <v>9831</v>
      </c>
      <c r="I22" s="3">
        <v>9831</v>
      </c>
      <c r="J22" s="2">
        <v>19831</v>
      </c>
      <c r="K22" s="2">
        <v>19931</v>
      </c>
      <c r="L22" s="2">
        <v>19931</v>
      </c>
      <c r="M22" s="2">
        <v>2931</v>
      </c>
      <c r="N22" s="2">
        <v>-9069</v>
      </c>
      <c r="O22" s="2">
        <v>-9069</v>
      </c>
      <c r="P22" s="2">
        <v>-21069</v>
      </c>
      <c r="Q22" s="2">
        <v>-31069</v>
      </c>
      <c r="R22" s="2">
        <v>-40059</v>
      </c>
      <c r="S22" s="2">
        <v>-35059</v>
      </c>
      <c r="T22" s="18">
        <v>-35059</v>
      </c>
      <c r="U22" s="22">
        <v>0</v>
      </c>
      <c r="V22" s="23">
        <v>7441</v>
      </c>
    </row>
    <row r="23" spans="2:22" x14ac:dyDescent="0.25">
      <c r="B23" s="22">
        <v>0</v>
      </c>
      <c r="C23" s="2">
        <v>0</v>
      </c>
      <c r="D23" s="18">
        <v>1</v>
      </c>
      <c r="E23" s="22">
        <v>70815</v>
      </c>
      <c r="F23" s="23" t="s">
        <v>86</v>
      </c>
      <c r="G23" s="22" t="s">
        <v>19</v>
      </c>
      <c r="H23" s="23">
        <v>10185</v>
      </c>
      <c r="I23" s="3">
        <v>0</v>
      </c>
      <c r="J23" s="2">
        <v>0</v>
      </c>
      <c r="K23" s="2">
        <v>0</v>
      </c>
      <c r="L23" s="2">
        <v>15000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18">
        <v>0</v>
      </c>
      <c r="U23" s="22">
        <v>0</v>
      </c>
      <c r="V23" s="23">
        <v>0</v>
      </c>
    </row>
    <row r="24" spans="2:22" x14ac:dyDescent="0.25">
      <c r="B24" s="22">
        <v>0</v>
      </c>
      <c r="C24" s="2">
        <v>0</v>
      </c>
      <c r="D24" s="18">
        <v>1</v>
      </c>
      <c r="E24" s="22">
        <v>70815</v>
      </c>
      <c r="F24" s="23" t="s">
        <v>86</v>
      </c>
      <c r="G24" s="22" t="s">
        <v>20</v>
      </c>
      <c r="H24" s="23">
        <v>10185</v>
      </c>
      <c r="I24" s="3">
        <v>10185</v>
      </c>
      <c r="J24" s="2">
        <v>10185</v>
      </c>
      <c r="K24" s="2">
        <v>5235</v>
      </c>
      <c r="L24" s="2">
        <v>235</v>
      </c>
      <c r="M24" s="2">
        <v>-8265</v>
      </c>
      <c r="N24" s="2">
        <v>-14265</v>
      </c>
      <c r="O24" s="2">
        <v>-14265</v>
      </c>
      <c r="P24" s="2">
        <v>-20265</v>
      </c>
      <c r="Q24" s="2">
        <v>-25265</v>
      </c>
      <c r="R24" s="2">
        <v>-29760</v>
      </c>
      <c r="S24" s="2">
        <v>-29760</v>
      </c>
      <c r="T24" s="18">
        <v>-29760</v>
      </c>
      <c r="U24" s="22">
        <v>0</v>
      </c>
      <c r="V24" s="23">
        <v>-29760</v>
      </c>
    </row>
    <row r="25" spans="2:22" hidden="1" x14ac:dyDescent="0.25">
      <c r="B25" s="22">
        <v>2</v>
      </c>
      <c r="C25" s="2">
        <v>0</v>
      </c>
      <c r="D25" s="18">
        <v>0</v>
      </c>
      <c r="E25" s="22">
        <v>66663</v>
      </c>
      <c r="F25" s="23" t="s">
        <v>77</v>
      </c>
      <c r="G25" s="22" t="s">
        <v>19</v>
      </c>
      <c r="H25" s="23">
        <v>12931</v>
      </c>
      <c r="I25" s="3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60000</v>
      </c>
      <c r="P25" s="2">
        <v>120000</v>
      </c>
      <c r="Q25" s="2">
        <v>0</v>
      </c>
      <c r="R25" s="2">
        <v>0</v>
      </c>
      <c r="S25" s="2">
        <v>12000</v>
      </c>
      <c r="T25" s="18">
        <v>60000</v>
      </c>
      <c r="U25" s="22">
        <v>252000</v>
      </c>
      <c r="V25" s="23">
        <v>0</v>
      </c>
    </row>
    <row r="26" spans="2:22" hidden="1" x14ac:dyDescent="0.25">
      <c r="B26" s="22">
        <v>2</v>
      </c>
      <c r="C26" s="2">
        <v>0</v>
      </c>
      <c r="D26" s="18">
        <v>0</v>
      </c>
      <c r="E26" s="22">
        <v>66663</v>
      </c>
      <c r="F26" s="23" t="s">
        <v>77</v>
      </c>
      <c r="G26" s="22" t="s">
        <v>20</v>
      </c>
      <c r="H26" s="23">
        <v>12931</v>
      </c>
      <c r="I26" s="3">
        <v>-25972.999</v>
      </c>
      <c r="J26" s="2">
        <v>-35148.999000000003</v>
      </c>
      <c r="K26" s="2">
        <v>-41638.999000000003</v>
      </c>
      <c r="L26" s="2">
        <v>-43638.999000000003</v>
      </c>
      <c r="M26" s="2">
        <v>-51638.999000000003</v>
      </c>
      <c r="N26" s="2">
        <v>-55638.999000000003</v>
      </c>
      <c r="O26" s="2">
        <v>361.00099999999998</v>
      </c>
      <c r="P26" s="2">
        <v>104361.001</v>
      </c>
      <c r="Q26" s="2">
        <v>100361.001</v>
      </c>
      <c r="R26" s="2">
        <v>81361.001000000004</v>
      </c>
      <c r="S26" s="2">
        <v>75351.001000000004</v>
      </c>
      <c r="T26" s="18">
        <v>123351.001</v>
      </c>
      <c r="U26" s="22">
        <v>0</v>
      </c>
      <c r="V26" s="23">
        <v>87351.001000000004</v>
      </c>
    </row>
    <row r="27" spans="2:22" x14ac:dyDescent="0.25">
      <c r="B27" s="22">
        <v>0</v>
      </c>
      <c r="C27" s="2">
        <v>0</v>
      </c>
      <c r="D27" s="18">
        <v>1</v>
      </c>
      <c r="E27" s="22">
        <v>59412</v>
      </c>
      <c r="F27" s="23" t="s">
        <v>67</v>
      </c>
      <c r="G27" s="22" t="s">
        <v>19</v>
      </c>
      <c r="H27" s="23">
        <v>13207</v>
      </c>
      <c r="I27" s="3">
        <v>0</v>
      </c>
      <c r="J27" s="2">
        <v>0</v>
      </c>
      <c r="K27" s="2">
        <v>0</v>
      </c>
      <c r="L27" s="2">
        <v>10000</v>
      </c>
      <c r="M27" s="2">
        <v>0</v>
      </c>
      <c r="N27" s="2">
        <v>0</v>
      </c>
      <c r="O27" s="2">
        <v>40000</v>
      </c>
      <c r="P27" s="2">
        <v>0</v>
      </c>
      <c r="Q27" s="2">
        <v>0</v>
      </c>
      <c r="R27" s="2">
        <v>0</v>
      </c>
      <c r="S27" s="2">
        <v>0</v>
      </c>
      <c r="T27" s="18">
        <v>0</v>
      </c>
      <c r="U27" s="22">
        <v>50000</v>
      </c>
      <c r="V27" s="23">
        <v>0</v>
      </c>
    </row>
    <row r="28" spans="2:22" x14ac:dyDescent="0.25">
      <c r="B28" s="22">
        <v>0</v>
      </c>
      <c r="C28" s="2">
        <v>0</v>
      </c>
      <c r="D28" s="18">
        <v>1</v>
      </c>
      <c r="E28" s="22">
        <v>59412</v>
      </c>
      <c r="F28" s="23" t="s">
        <v>67</v>
      </c>
      <c r="G28" s="22" t="s">
        <v>20</v>
      </c>
      <c r="H28" s="23">
        <v>13207</v>
      </c>
      <c r="I28" s="3">
        <v>13207</v>
      </c>
      <c r="J28" s="2">
        <v>13207</v>
      </c>
      <c r="K28" s="2">
        <v>8257</v>
      </c>
      <c r="L28" s="2">
        <v>13257</v>
      </c>
      <c r="M28" s="2">
        <v>4757</v>
      </c>
      <c r="N28" s="2">
        <v>-1243</v>
      </c>
      <c r="O28" s="2">
        <v>38757</v>
      </c>
      <c r="P28" s="2">
        <v>32757</v>
      </c>
      <c r="Q28" s="2">
        <v>27757</v>
      </c>
      <c r="R28" s="2">
        <v>23262</v>
      </c>
      <c r="S28" s="2">
        <v>23262</v>
      </c>
      <c r="T28" s="18">
        <v>23262</v>
      </c>
      <c r="U28" s="22">
        <v>0</v>
      </c>
      <c r="V28" s="23">
        <v>23262</v>
      </c>
    </row>
    <row r="29" spans="2:22" hidden="1" x14ac:dyDescent="0.25">
      <c r="B29" s="22">
        <v>0</v>
      </c>
      <c r="C29" s="2">
        <v>1</v>
      </c>
      <c r="D29" s="18">
        <v>0</v>
      </c>
      <c r="E29" s="22">
        <v>69546</v>
      </c>
      <c r="F29" s="23" t="s">
        <v>84</v>
      </c>
      <c r="G29" s="22" t="s">
        <v>19</v>
      </c>
      <c r="H29" s="23">
        <v>13560</v>
      </c>
      <c r="I29" s="3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18">
        <v>0</v>
      </c>
      <c r="U29" s="22">
        <v>0</v>
      </c>
      <c r="V29" s="23">
        <v>0</v>
      </c>
    </row>
    <row r="30" spans="2:22" hidden="1" x14ac:dyDescent="0.25">
      <c r="B30" s="22">
        <v>0</v>
      </c>
      <c r="C30" s="2">
        <v>1</v>
      </c>
      <c r="D30" s="18">
        <v>0</v>
      </c>
      <c r="E30" s="22">
        <v>69546</v>
      </c>
      <c r="F30" s="23" t="s">
        <v>84</v>
      </c>
      <c r="G30" s="22" t="s">
        <v>20</v>
      </c>
      <c r="H30" s="23">
        <v>13560</v>
      </c>
      <c r="I30" s="3">
        <v>13560</v>
      </c>
      <c r="J30" s="2">
        <v>13560</v>
      </c>
      <c r="K30" s="2">
        <v>7023</v>
      </c>
      <c r="L30" s="2">
        <v>-2977</v>
      </c>
      <c r="M30" s="2">
        <v>-10677</v>
      </c>
      <c r="N30" s="2">
        <v>-15677</v>
      </c>
      <c r="O30" s="2">
        <v>-20677</v>
      </c>
      <c r="P30" s="2">
        <v>-25677</v>
      </c>
      <c r="Q30" s="2">
        <v>-30677</v>
      </c>
      <c r="R30" s="2">
        <v>-35677</v>
      </c>
      <c r="S30" s="2">
        <v>-35677</v>
      </c>
      <c r="T30" s="18">
        <v>-35677</v>
      </c>
      <c r="U30" s="22">
        <v>0</v>
      </c>
      <c r="V30" s="23">
        <v>-35677</v>
      </c>
    </row>
    <row r="31" spans="2:22" x14ac:dyDescent="0.25">
      <c r="B31" s="22">
        <v>1</v>
      </c>
      <c r="C31" s="2">
        <v>1</v>
      </c>
      <c r="D31" s="18">
        <v>1</v>
      </c>
      <c r="E31" s="22">
        <v>61676</v>
      </c>
      <c r="F31" s="23" t="s">
        <v>75</v>
      </c>
      <c r="G31" s="22" t="s">
        <v>19</v>
      </c>
      <c r="H31" s="23">
        <v>14153</v>
      </c>
      <c r="I31" s="3">
        <v>0</v>
      </c>
      <c r="J31" s="2">
        <v>0</v>
      </c>
      <c r="K31" s="2">
        <v>20000</v>
      </c>
      <c r="L31" s="2">
        <v>20000</v>
      </c>
      <c r="M31" s="2">
        <v>0</v>
      </c>
      <c r="N31" s="2">
        <v>20000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18">
        <v>0</v>
      </c>
      <c r="U31" s="22">
        <v>60000</v>
      </c>
      <c r="V31" s="23">
        <v>0</v>
      </c>
    </row>
    <row r="32" spans="2:22" x14ac:dyDescent="0.25">
      <c r="B32" s="22">
        <v>1</v>
      </c>
      <c r="C32" s="2">
        <v>1</v>
      </c>
      <c r="D32" s="18">
        <v>1</v>
      </c>
      <c r="E32" s="22">
        <v>61676</v>
      </c>
      <c r="F32" s="23" t="s">
        <v>75</v>
      </c>
      <c r="G32" s="22" t="s">
        <v>20</v>
      </c>
      <c r="H32" s="23">
        <v>14153</v>
      </c>
      <c r="I32" s="3">
        <v>-4797</v>
      </c>
      <c r="J32" s="2">
        <v>-9797</v>
      </c>
      <c r="K32" s="2">
        <v>4703</v>
      </c>
      <c r="L32" s="2">
        <v>-742</v>
      </c>
      <c r="M32" s="2">
        <v>-19942</v>
      </c>
      <c r="N32" s="2">
        <v>-12942</v>
      </c>
      <c r="O32" s="2">
        <v>-19942</v>
      </c>
      <c r="P32" s="2">
        <v>-32942</v>
      </c>
      <c r="Q32" s="2">
        <v>-50942</v>
      </c>
      <c r="R32" s="2">
        <v>-60442</v>
      </c>
      <c r="S32" s="2">
        <v>-69937</v>
      </c>
      <c r="T32" s="18">
        <v>-78942</v>
      </c>
      <c r="U32" s="22">
        <v>0</v>
      </c>
      <c r="V32" s="23">
        <v>-102942</v>
      </c>
    </row>
    <row r="33" spans="2:22" hidden="1" x14ac:dyDescent="0.25">
      <c r="B33" s="22">
        <v>1</v>
      </c>
      <c r="C33" s="2">
        <v>0</v>
      </c>
      <c r="D33" s="18">
        <v>0</v>
      </c>
      <c r="E33" s="22">
        <v>72287</v>
      </c>
      <c r="F33" s="23" t="s">
        <v>87</v>
      </c>
      <c r="G33" s="22" t="s">
        <v>19</v>
      </c>
      <c r="H33" s="23">
        <v>14442</v>
      </c>
      <c r="I33" s="3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18">
        <v>0</v>
      </c>
      <c r="U33" s="22">
        <v>0</v>
      </c>
      <c r="V33" s="23">
        <v>0</v>
      </c>
    </row>
    <row r="34" spans="2:22" hidden="1" x14ac:dyDescent="0.25">
      <c r="B34" s="22">
        <v>1</v>
      </c>
      <c r="C34" s="2">
        <v>0</v>
      </c>
      <c r="D34" s="18">
        <v>0</v>
      </c>
      <c r="E34" s="22">
        <v>72287</v>
      </c>
      <c r="F34" s="23" t="s">
        <v>87</v>
      </c>
      <c r="G34" s="22" t="s">
        <v>20</v>
      </c>
      <c r="H34" s="23">
        <v>14442</v>
      </c>
      <c r="I34" s="3">
        <v>4392</v>
      </c>
      <c r="J34" s="2">
        <v>-196</v>
      </c>
      <c r="K34" s="2">
        <v>-196</v>
      </c>
      <c r="L34" s="2">
        <v>-1196</v>
      </c>
      <c r="M34" s="2">
        <v>-1196</v>
      </c>
      <c r="N34" s="2">
        <v>-1196</v>
      </c>
      <c r="O34" s="2">
        <v>-1196</v>
      </c>
      <c r="P34" s="2">
        <v>-7196</v>
      </c>
      <c r="Q34" s="2">
        <v>-7196</v>
      </c>
      <c r="R34" s="2">
        <v>-14696</v>
      </c>
      <c r="S34" s="2">
        <v>-23196</v>
      </c>
      <c r="T34" s="18">
        <v>-29196</v>
      </c>
      <c r="U34" s="22">
        <v>0</v>
      </c>
      <c r="V34" s="23">
        <v>-47196</v>
      </c>
    </row>
    <row r="35" spans="2:22" x14ac:dyDescent="0.25">
      <c r="B35" s="22">
        <v>0</v>
      </c>
      <c r="C35" s="2">
        <v>0</v>
      </c>
      <c r="D35" s="18">
        <v>1</v>
      </c>
      <c r="E35" s="22">
        <v>55218</v>
      </c>
      <c r="F35" s="23" t="s">
        <v>46</v>
      </c>
      <c r="G35" s="22" t="s">
        <v>19</v>
      </c>
      <c r="H35" s="23">
        <v>18173</v>
      </c>
      <c r="I35" s="3">
        <v>0</v>
      </c>
      <c r="J35" s="2">
        <v>0</v>
      </c>
      <c r="K35" s="2">
        <v>0</v>
      </c>
      <c r="L35" s="2">
        <v>10000</v>
      </c>
      <c r="M35" s="2">
        <v>0</v>
      </c>
      <c r="N35" s="2">
        <v>10000</v>
      </c>
      <c r="O35" s="2">
        <v>0</v>
      </c>
      <c r="P35" s="2">
        <v>0</v>
      </c>
      <c r="Q35" s="2">
        <v>10000</v>
      </c>
      <c r="R35" s="2">
        <v>0</v>
      </c>
      <c r="S35" s="2">
        <v>0</v>
      </c>
      <c r="T35" s="18">
        <v>0</v>
      </c>
      <c r="U35" s="22">
        <v>30000</v>
      </c>
      <c r="V35" s="23">
        <v>0</v>
      </c>
    </row>
    <row r="36" spans="2:22" x14ac:dyDescent="0.25">
      <c r="B36" s="22">
        <v>0</v>
      </c>
      <c r="C36" s="2">
        <v>0</v>
      </c>
      <c r="D36" s="18">
        <v>1</v>
      </c>
      <c r="E36" s="22">
        <v>55218</v>
      </c>
      <c r="F36" s="23" t="s">
        <v>46</v>
      </c>
      <c r="G36" s="22" t="s">
        <v>20</v>
      </c>
      <c r="H36" s="23">
        <v>18173</v>
      </c>
      <c r="I36" s="3">
        <v>17367</v>
      </c>
      <c r="J36" s="2">
        <v>17367</v>
      </c>
      <c r="K36" s="2">
        <v>12017</v>
      </c>
      <c r="L36" s="2">
        <v>16717</v>
      </c>
      <c r="M36" s="2">
        <v>7817</v>
      </c>
      <c r="N36" s="2">
        <v>11817</v>
      </c>
      <c r="O36" s="2">
        <v>11817</v>
      </c>
      <c r="P36" s="2">
        <v>5817</v>
      </c>
      <c r="Q36" s="2">
        <v>10817</v>
      </c>
      <c r="R36" s="2">
        <v>6322</v>
      </c>
      <c r="S36" s="2">
        <v>6322</v>
      </c>
      <c r="T36" s="18">
        <v>6322</v>
      </c>
      <c r="U36" s="22">
        <v>0</v>
      </c>
      <c r="V36" s="23">
        <v>6322</v>
      </c>
    </row>
    <row r="37" spans="2:22" hidden="1" x14ac:dyDescent="0.25">
      <c r="B37" s="22">
        <v>1</v>
      </c>
      <c r="C37" s="2">
        <v>1</v>
      </c>
      <c r="D37" s="18">
        <v>0</v>
      </c>
      <c r="E37" s="22">
        <v>59410</v>
      </c>
      <c r="F37" s="23" t="s">
        <v>65</v>
      </c>
      <c r="G37" s="22" t="s">
        <v>19</v>
      </c>
      <c r="H37" s="23">
        <v>19149</v>
      </c>
      <c r="I37" s="3">
        <v>0</v>
      </c>
      <c r="J37" s="2">
        <v>0</v>
      </c>
      <c r="K37" s="2">
        <v>13500</v>
      </c>
      <c r="L37" s="2">
        <v>27000</v>
      </c>
      <c r="M37" s="2">
        <v>0</v>
      </c>
      <c r="N37" s="2">
        <v>0</v>
      </c>
      <c r="O37" s="2">
        <v>9000</v>
      </c>
      <c r="P37" s="2">
        <v>40500</v>
      </c>
      <c r="Q37" s="2">
        <v>0</v>
      </c>
      <c r="R37" s="2">
        <v>0</v>
      </c>
      <c r="S37" s="2">
        <v>0</v>
      </c>
      <c r="T37" s="18">
        <v>27000</v>
      </c>
      <c r="U37" s="22">
        <v>117000</v>
      </c>
      <c r="V37" s="23">
        <v>0</v>
      </c>
    </row>
    <row r="38" spans="2:22" hidden="1" x14ac:dyDescent="0.25">
      <c r="B38" s="22">
        <v>1</v>
      </c>
      <c r="C38" s="2">
        <v>1</v>
      </c>
      <c r="D38" s="18">
        <v>0</v>
      </c>
      <c r="E38" s="22">
        <v>59410</v>
      </c>
      <c r="F38" s="23" t="s">
        <v>65</v>
      </c>
      <c r="G38" s="22" t="s">
        <v>20</v>
      </c>
      <c r="H38" s="23">
        <v>19149</v>
      </c>
      <c r="I38" s="3">
        <v>9099</v>
      </c>
      <c r="J38" s="2">
        <v>4511</v>
      </c>
      <c r="K38" s="2">
        <v>11474</v>
      </c>
      <c r="L38" s="2">
        <v>27474</v>
      </c>
      <c r="M38" s="2">
        <v>19774</v>
      </c>
      <c r="N38" s="2">
        <v>14774</v>
      </c>
      <c r="O38" s="2">
        <v>18774</v>
      </c>
      <c r="P38" s="2">
        <v>48274</v>
      </c>
      <c r="Q38" s="2">
        <v>43274</v>
      </c>
      <c r="R38" s="2">
        <v>30774</v>
      </c>
      <c r="S38" s="2">
        <v>22274</v>
      </c>
      <c r="T38" s="18">
        <v>43274</v>
      </c>
      <c r="U38" s="22">
        <v>0</v>
      </c>
      <c r="V38" s="23">
        <v>25274</v>
      </c>
    </row>
    <row r="39" spans="2:22" x14ac:dyDescent="0.25">
      <c r="B39" s="22">
        <v>0.09</v>
      </c>
      <c r="C39" s="2">
        <v>0.09</v>
      </c>
      <c r="D39" s="18">
        <v>0.09</v>
      </c>
      <c r="E39" s="22">
        <v>58578</v>
      </c>
      <c r="F39" s="23" t="s">
        <v>54</v>
      </c>
      <c r="G39" s="22" t="s">
        <v>19</v>
      </c>
      <c r="H39" s="23">
        <v>19309.25</v>
      </c>
      <c r="I39" s="3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18">
        <v>0</v>
      </c>
      <c r="U39" s="22">
        <v>0</v>
      </c>
      <c r="V39" s="23">
        <v>0</v>
      </c>
    </row>
    <row r="40" spans="2:22" x14ac:dyDescent="0.25">
      <c r="B40" s="22">
        <v>0.09</v>
      </c>
      <c r="C40" s="2">
        <v>0.09</v>
      </c>
      <c r="D40" s="18">
        <v>0.09</v>
      </c>
      <c r="E40" s="22">
        <v>58578</v>
      </c>
      <c r="F40" s="23" t="s">
        <v>54</v>
      </c>
      <c r="G40" s="22" t="s">
        <v>20</v>
      </c>
      <c r="H40" s="23">
        <v>19309.25</v>
      </c>
      <c r="I40" s="3">
        <v>12897</v>
      </c>
      <c r="J40" s="2">
        <v>12447</v>
      </c>
      <c r="K40" s="2">
        <v>11997</v>
      </c>
      <c r="L40" s="2">
        <v>9720</v>
      </c>
      <c r="M40" s="2">
        <v>7182</v>
      </c>
      <c r="N40" s="2">
        <v>5427</v>
      </c>
      <c r="O40" s="2">
        <v>4257</v>
      </c>
      <c r="P40" s="2">
        <v>3267</v>
      </c>
      <c r="Q40" s="2">
        <v>1701</v>
      </c>
      <c r="R40" s="2">
        <v>1026</v>
      </c>
      <c r="S40" s="2">
        <v>-548.54999999999995</v>
      </c>
      <c r="T40" s="18">
        <v>-2033.55</v>
      </c>
      <c r="U40" s="22">
        <v>0</v>
      </c>
      <c r="V40" s="23">
        <v>-9953.5499999999993</v>
      </c>
    </row>
    <row r="41" spans="2:22" hidden="1" x14ac:dyDescent="0.25">
      <c r="B41" s="22">
        <v>1</v>
      </c>
      <c r="C41" s="2">
        <v>1</v>
      </c>
      <c r="D41" s="18">
        <v>0</v>
      </c>
      <c r="E41" s="22">
        <v>59975</v>
      </c>
      <c r="F41" s="23" t="s">
        <v>69</v>
      </c>
      <c r="G41" s="22" t="s">
        <v>19</v>
      </c>
      <c r="H41" s="23">
        <v>20638</v>
      </c>
      <c r="I41" s="3">
        <v>16000</v>
      </c>
      <c r="J41" s="2">
        <v>0</v>
      </c>
      <c r="K41" s="2">
        <v>0</v>
      </c>
      <c r="L41" s="2">
        <v>0</v>
      </c>
      <c r="M41" s="2">
        <v>16000</v>
      </c>
      <c r="N41" s="2">
        <v>0</v>
      </c>
      <c r="O41" s="2">
        <v>32000</v>
      </c>
      <c r="P41" s="2">
        <v>0</v>
      </c>
      <c r="Q41" s="2">
        <v>0</v>
      </c>
      <c r="R41" s="2">
        <v>16000</v>
      </c>
      <c r="S41" s="2">
        <v>0</v>
      </c>
      <c r="T41" s="18">
        <v>0</v>
      </c>
      <c r="U41" s="22">
        <v>80000</v>
      </c>
      <c r="V41" s="23">
        <v>0</v>
      </c>
    </row>
    <row r="42" spans="2:22" hidden="1" x14ac:dyDescent="0.25">
      <c r="B42" s="22">
        <v>1</v>
      </c>
      <c r="C42" s="2">
        <v>1</v>
      </c>
      <c r="D42" s="18">
        <v>0</v>
      </c>
      <c r="E42" s="22">
        <v>59975</v>
      </c>
      <c r="F42" s="23" t="s">
        <v>69</v>
      </c>
      <c r="G42" s="22" t="s">
        <v>20</v>
      </c>
      <c r="H42" s="23">
        <v>20638</v>
      </c>
      <c r="I42" s="3">
        <v>26588</v>
      </c>
      <c r="J42" s="2">
        <v>22000</v>
      </c>
      <c r="K42" s="2">
        <v>15463</v>
      </c>
      <c r="L42" s="2">
        <v>4363</v>
      </c>
      <c r="M42" s="2">
        <v>12563</v>
      </c>
      <c r="N42" s="2">
        <v>7563</v>
      </c>
      <c r="O42" s="2">
        <v>34563</v>
      </c>
      <c r="P42" s="2">
        <v>23463</v>
      </c>
      <c r="Q42" s="2">
        <v>18463</v>
      </c>
      <c r="R42" s="2">
        <v>21863</v>
      </c>
      <c r="S42" s="2">
        <v>13363</v>
      </c>
      <c r="T42" s="18">
        <v>7263</v>
      </c>
      <c r="U42" s="22">
        <v>0</v>
      </c>
      <c r="V42" s="23">
        <v>-11237</v>
      </c>
    </row>
    <row r="43" spans="2:22" x14ac:dyDescent="0.25">
      <c r="B43" s="22">
        <v>0.13500000000000001</v>
      </c>
      <c r="C43" s="2">
        <v>0.13500000000000001</v>
      </c>
      <c r="D43" s="18">
        <v>0.13500000000000001</v>
      </c>
      <c r="E43" s="22">
        <v>69444</v>
      </c>
      <c r="F43" s="23" t="s">
        <v>83</v>
      </c>
      <c r="G43" s="22" t="s">
        <v>19</v>
      </c>
      <c r="H43" s="23">
        <v>21137.205000000002</v>
      </c>
      <c r="I43" s="3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18">
        <v>0</v>
      </c>
      <c r="U43" s="22">
        <v>0</v>
      </c>
      <c r="V43" s="23">
        <v>0</v>
      </c>
    </row>
    <row r="44" spans="2:22" x14ac:dyDescent="0.25">
      <c r="B44" s="22">
        <v>0.13500000000000001</v>
      </c>
      <c r="C44" s="2">
        <v>0.13500000000000001</v>
      </c>
      <c r="D44" s="18">
        <v>0.13500000000000001</v>
      </c>
      <c r="E44" s="22">
        <v>69444</v>
      </c>
      <c r="F44" s="23" t="s">
        <v>83</v>
      </c>
      <c r="G44" s="22" t="s">
        <v>20</v>
      </c>
      <c r="H44" s="23">
        <v>21137.205000000002</v>
      </c>
      <c r="I44" s="3">
        <v>16426.53</v>
      </c>
      <c r="J44" s="2">
        <v>15751.53</v>
      </c>
      <c r="K44" s="2">
        <v>15076.53</v>
      </c>
      <c r="L44" s="2">
        <v>11726.03</v>
      </c>
      <c r="M44" s="2">
        <v>8244.0300000000007</v>
      </c>
      <c r="N44" s="2">
        <v>5824.03</v>
      </c>
      <c r="O44" s="2">
        <v>4269.03</v>
      </c>
      <c r="P44" s="2">
        <v>2784.03</v>
      </c>
      <c r="Q44" s="2">
        <v>470.03</v>
      </c>
      <c r="R44" s="2">
        <v>-542.47</v>
      </c>
      <c r="S44" s="2">
        <v>-2704.2950000000001</v>
      </c>
      <c r="T44" s="18">
        <v>-4731.7950000000001</v>
      </c>
      <c r="U44" s="22">
        <v>0</v>
      </c>
      <c r="V44" s="23">
        <v>-15011.795</v>
      </c>
    </row>
    <row r="45" spans="2:22" x14ac:dyDescent="0.25">
      <c r="B45" s="22">
        <v>1</v>
      </c>
      <c r="C45" s="2">
        <v>1</v>
      </c>
      <c r="D45" s="18">
        <v>1</v>
      </c>
      <c r="E45" s="22">
        <v>40423</v>
      </c>
      <c r="F45" s="23" t="s">
        <v>40</v>
      </c>
      <c r="G45" s="22" t="s">
        <v>19</v>
      </c>
      <c r="H45" s="23">
        <v>21646</v>
      </c>
      <c r="I45" s="3">
        <v>50000</v>
      </c>
      <c r="J45" s="2">
        <v>10000</v>
      </c>
      <c r="K45" s="2">
        <v>50000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18">
        <v>0</v>
      </c>
      <c r="U45" s="22">
        <v>110000</v>
      </c>
      <c r="V45" s="23">
        <v>0</v>
      </c>
    </row>
    <row r="46" spans="2:22" x14ac:dyDescent="0.25">
      <c r="B46" s="22">
        <v>1</v>
      </c>
      <c r="C46" s="2">
        <v>1</v>
      </c>
      <c r="D46" s="18">
        <v>1</v>
      </c>
      <c r="E46" s="22">
        <v>40423</v>
      </c>
      <c r="F46" s="23" t="s">
        <v>40</v>
      </c>
      <c r="G46" s="22" t="s">
        <v>20</v>
      </c>
      <c r="H46" s="23">
        <v>21646</v>
      </c>
      <c r="I46" s="3">
        <v>44064</v>
      </c>
      <c r="J46" s="2">
        <v>24064</v>
      </c>
      <c r="K46" s="2">
        <v>68564</v>
      </c>
      <c r="L46" s="2">
        <v>30519</v>
      </c>
      <c r="M46" s="2">
        <v>-1681</v>
      </c>
      <c r="N46" s="2">
        <v>-23181</v>
      </c>
      <c r="O46" s="2">
        <v>-38181</v>
      </c>
      <c r="P46" s="2">
        <v>-51181</v>
      </c>
      <c r="Q46" s="2">
        <v>-70581</v>
      </c>
      <c r="R46" s="2">
        <v>-80081</v>
      </c>
      <c r="S46" s="2">
        <v>-97576</v>
      </c>
      <c r="T46" s="18">
        <v>-114581</v>
      </c>
      <c r="U46" s="22">
        <v>0</v>
      </c>
      <c r="V46" s="23">
        <v>-202581</v>
      </c>
    </row>
    <row r="47" spans="2:22" x14ac:dyDescent="0.25">
      <c r="B47" s="22">
        <v>0</v>
      </c>
      <c r="C47" s="2">
        <v>0</v>
      </c>
      <c r="D47" s="18">
        <v>1</v>
      </c>
      <c r="E47" s="22">
        <v>61108</v>
      </c>
      <c r="F47" s="23" t="s">
        <v>74</v>
      </c>
      <c r="G47" s="22" t="s">
        <v>19</v>
      </c>
      <c r="H47" s="23">
        <v>22079</v>
      </c>
      <c r="I47" s="3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18">
        <v>798000</v>
      </c>
      <c r="U47" s="22">
        <v>798000</v>
      </c>
      <c r="V47" s="23">
        <v>48000</v>
      </c>
    </row>
    <row r="48" spans="2:22" x14ac:dyDescent="0.25">
      <c r="B48" s="22">
        <v>0</v>
      </c>
      <c r="C48" s="2">
        <v>0</v>
      </c>
      <c r="D48" s="18">
        <v>1</v>
      </c>
      <c r="E48" s="22">
        <v>61108</v>
      </c>
      <c r="F48" s="23" t="s">
        <v>74</v>
      </c>
      <c r="G48" s="22" t="s">
        <v>20</v>
      </c>
      <c r="H48" s="23">
        <v>22079</v>
      </c>
      <c r="I48" s="3">
        <v>16972</v>
      </c>
      <c r="J48" s="2">
        <v>16972</v>
      </c>
      <c r="K48" s="2">
        <v>12022</v>
      </c>
      <c r="L48" s="2">
        <v>7022</v>
      </c>
      <c r="M48" s="2">
        <v>-1478</v>
      </c>
      <c r="N48" s="2">
        <v>-7478</v>
      </c>
      <c r="O48" s="2">
        <v>-7478</v>
      </c>
      <c r="P48" s="2">
        <v>-13478</v>
      </c>
      <c r="Q48" s="2">
        <v>-18478</v>
      </c>
      <c r="R48" s="2">
        <v>-22973</v>
      </c>
      <c r="S48" s="2">
        <v>-22973</v>
      </c>
      <c r="T48" s="18">
        <v>775027</v>
      </c>
      <c r="U48" s="22">
        <v>0</v>
      </c>
      <c r="V48" s="23">
        <v>823027</v>
      </c>
    </row>
    <row r="49" spans="2:22" x14ac:dyDescent="0.25">
      <c r="B49" s="22">
        <v>0.1</v>
      </c>
      <c r="C49" s="2">
        <v>0.1</v>
      </c>
      <c r="D49" s="18">
        <v>0.1</v>
      </c>
      <c r="E49" s="22">
        <v>59011</v>
      </c>
      <c r="F49" s="23" t="s">
        <v>55</v>
      </c>
      <c r="G49" s="22" t="s">
        <v>19</v>
      </c>
      <c r="H49" s="23">
        <v>26119.3</v>
      </c>
      <c r="I49" s="3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18">
        <v>0</v>
      </c>
      <c r="U49" s="22">
        <v>0</v>
      </c>
      <c r="V49" s="23">
        <v>0</v>
      </c>
    </row>
    <row r="50" spans="2:22" x14ac:dyDescent="0.25">
      <c r="B50" s="22">
        <v>0.1</v>
      </c>
      <c r="C50" s="2">
        <v>0.1</v>
      </c>
      <c r="D50" s="18">
        <v>0.1</v>
      </c>
      <c r="E50" s="22">
        <v>59011</v>
      </c>
      <c r="F50" s="23" t="s">
        <v>55</v>
      </c>
      <c r="G50" s="22" t="s">
        <v>20</v>
      </c>
      <c r="H50" s="23">
        <v>26119.3</v>
      </c>
      <c r="I50" s="3">
        <v>-14270</v>
      </c>
      <c r="J50" s="2">
        <v>-14770</v>
      </c>
      <c r="K50" s="2">
        <v>-16320</v>
      </c>
      <c r="L50" s="2">
        <v>-24614.5</v>
      </c>
      <c r="M50" s="2">
        <v>-35834.5</v>
      </c>
      <c r="N50" s="2">
        <v>-41984.5</v>
      </c>
      <c r="O50" s="2">
        <v>-47484.5</v>
      </c>
      <c r="P50" s="2">
        <v>-52784.5</v>
      </c>
      <c r="Q50" s="2">
        <v>-58724.5</v>
      </c>
      <c r="R50" s="2">
        <v>-63674.5</v>
      </c>
      <c r="S50" s="2">
        <v>-65424</v>
      </c>
      <c r="T50" s="18">
        <v>-68134.5</v>
      </c>
      <c r="U50" s="22">
        <v>0</v>
      </c>
      <c r="V50" s="23">
        <v>-76934.5</v>
      </c>
    </row>
    <row r="51" spans="2:22" x14ac:dyDescent="0.25">
      <c r="B51" s="22">
        <v>1</v>
      </c>
      <c r="C51" s="2">
        <v>1</v>
      </c>
      <c r="D51" s="18">
        <v>1</v>
      </c>
      <c r="E51" s="22">
        <v>58350</v>
      </c>
      <c r="F51" s="23" t="s">
        <v>52</v>
      </c>
      <c r="G51" s="22" t="s">
        <v>19</v>
      </c>
      <c r="H51" s="23">
        <v>27308</v>
      </c>
      <c r="I51" s="3">
        <v>3024</v>
      </c>
      <c r="J51" s="2">
        <v>40320</v>
      </c>
      <c r="K51" s="2">
        <v>0</v>
      </c>
      <c r="L51" s="2">
        <v>20160</v>
      </c>
      <c r="M51" s="2">
        <v>20160</v>
      </c>
      <c r="N51" s="2">
        <v>20160</v>
      </c>
      <c r="O51" s="2">
        <v>20160</v>
      </c>
      <c r="P51" s="2">
        <v>20160</v>
      </c>
      <c r="Q51" s="2">
        <v>17136</v>
      </c>
      <c r="R51" s="2">
        <v>0</v>
      </c>
      <c r="S51" s="2">
        <v>0</v>
      </c>
      <c r="T51" s="18">
        <v>0</v>
      </c>
      <c r="U51" s="22">
        <v>161280</v>
      </c>
      <c r="V51" s="23">
        <v>0</v>
      </c>
    </row>
    <row r="52" spans="2:22" x14ac:dyDescent="0.25">
      <c r="B52" s="22">
        <v>1</v>
      </c>
      <c r="C52" s="2">
        <v>1</v>
      </c>
      <c r="D52" s="18">
        <v>1</v>
      </c>
      <c r="E52" s="22">
        <v>58350</v>
      </c>
      <c r="F52" s="23" t="s">
        <v>52</v>
      </c>
      <c r="G52" s="22" t="s">
        <v>20</v>
      </c>
      <c r="H52" s="23">
        <v>27308</v>
      </c>
      <c r="I52" s="3">
        <v>-13916</v>
      </c>
      <c r="J52" s="2">
        <v>21404</v>
      </c>
      <c r="K52" s="2">
        <v>16404</v>
      </c>
      <c r="L52" s="2">
        <v>11264</v>
      </c>
      <c r="M52" s="2">
        <v>3224</v>
      </c>
      <c r="N52" s="2">
        <v>3884</v>
      </c>
      <c r="O52" s="2">
        <v>11044</v>
      </c>
      <c r="P52" s="2">
        <v>20204</v>
      </c>
      <c r="Q52" s="2">
        <v>19940</v>
      </c>
      <c r="R52" s="2">
        <v>12440</v>
      </c>
      <c r="S52" s="2">
        <v>-5055</v>
      </c>
      <c r="T52" s="18">
        <v>-21555</v>
      </c>
      <c r="U52" s="22">
        <v>0</v>
      </c>
      <c r="V52" s="23">
        <v>-109555</v>
      </c>
    </row>
    <row r="53" spans="2:22" x14ac:dyDescent="0.25">
      <c r="B53" s="22">
        <v>1</v>
      </c>
      <c r="C53" s="2">
        <v>1</v>
      </c>
      <c r="D53" s="18">
        <v>1</v>
      </c>
      <c r="E53" s="22">
        <v>60966</v>
      </c>
      <c r="F53" s="23" t="s">
        <v>73</v>
      </c>
      <c r="G53" s="22" t="s">
        <v>19</v>
      </c>
      <c r="H53" s="23">
        <v>27799</v>
      </c>
      <c r="I53" s="3">
        <v>0</v>
      </c>
      <c r="J53" s="2">
        <v>0</v>
      </c>
      <c r="K53" s="2">
        <v>20000</v>
      </c>
      <c r="L53" s="2">
        <v>30000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18">
        <v>0</v>
      </c>
      <c r="U53" s="22">
        <v>50000</v>
      </c>
      <c r="V53" s="23">
        <v>0</v>
      </c>
    </row>
    <row r="54" spans="2:22" x14ac:dyDescent="0.25">
      <c r="B54" s="22">
        <v>1</v>
      </c>
      <c r="C54" s="2">
        <v>1</v>
      </c>
      <c r="D54" s="18">
        <v>1</v>
      </c>
      <c r="E54" s="22">
        <v>60966</v>
      </c>
      <c r="F54" s="23" t="s">
        <v>73</v>
      </c>
      <c r="G54" s="22" t="s">
        <v>20</v>
      </c>
      <c r="H54" s="23">
        <v>27799</v>
      </c>
      <c r="I54" s="3">
        <v>6309</v>
      </c>
      <c r="J54" s="2">
        <v>1309</v>
      </c>
      <c r="K54" s="2">
        <v>15809</v>
      </c>
      <c r="L54" s="2">
        <v>20364</v>
      </c>
      <c r="M54" s="2">
        <v>1164</v>
      </c>
      <c r="N54" s="2">
        <v>-11836</v>
      </c>
      <c r="O54" s="2">
        <v>-18836</v>
      </c>
      <c r="P54" s="2">
        <v>-31836</v>
      </c>
      <c r="Q54" s="2">
        <v>-49836</v>
      </c>
      <c r="R54" s="2">
        <v>-59336</v>
      </c>
      <c r="S54" s="2">
        <v>-68831</v>
      </c>
      <c r="T54" s="18">
        <v>-77836</v>
      </c>
      <c r="U54" s="22">
        <v>0</v>
      </c>
      <c r="V54" s="23">
        <v>-101836</v>
      </c>
    </row>
    <row r="55" spans="2:22" hidden="1" x14ac:dyDescent="0.25">
      <c r="B55" s="22">
        <v>0</v>
      </c>
      <c r="C55" s="2">
        <v>2</v>
      </c>
      <c r="D55" s="18">
        <v>0</v>
      </c>
      <c r="E55" s="22">
        <v>69653</v>
      </c>
      <c r="F55" s="23" t="s">
        <v>85</v>
      </c>
      <c r="G55" s="22" t="s">
        <v>19</v>
      </c>
      <c r="H55" s="23">
        <v>30760</v>
      </c>
      <c r="I55" s="3">
        <v>0</v>
      </c>
      <c r="J55" s="2">
        <v>45000</v>
      </c>
      <c r="K55" s="2">
        <v>15000</v>
      </c>
      <c r="L55" s="2">
        <v>18000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18">
        <v>0</v>
      </c>
      <c r="U55" s="22">
        <v>78000</v>
      </c>
      <c r="V55" s="23">
        <v>0</v>
      </c>
    </row>
    <row r="56" spans="2:22" hidden="1" x14ac:dyDescent="0.25">
      <c r="B56" s="22">
        <v>0</v>
      </c>
      <c r="C56" s="2">
        <v>2</v>
      </c>
      <c r="D56" s="18">
        <v>0</v>
      </c>
      <c r="E56" s="22">
        <v>69653</v>
      </c>
      <c r="F56" s="23" t="s">
        <v>85</v>
      </c>
      <c r="G56" s="22" t="s">
        <v>20</v>
      </c>
      <c r="H56" s="23">
        <v>30760</v>
      </c>
      <c r="I56" s="3">
        <v>30760</v>
      </c>
      <c r="J56" s="2">
        <v>75760</v>
      </c>
      <c r="K56" s="2">
        <v>77686</v>
      </c>
      <c r="L56" s="2">
        <v>75686</v>
      </c>
      <c r="M56" s="2">
        <v>60286</v>
      </c>
      <c r="N56" s="2">
        <v>50286</v>
      </c>
      <c r="O56" s="2">
        <v>40286</v>
      </c>
      <c r="P56" s="2">
        <v>30286</v>
      </c>
      <c r="Q56" s="2">
        <v>20286</v>
      </c>
      <c r="R56" s="2">
        <v>10286</v>
      </c>
      <c r="S56" s="2">
        <v>10286</v>
      </c>
      <c r="T56" s="18">
        <v>10286</v>
      </c>
      <c r="U56" s="22">
        <v>0</v>
      </c>
      <c r="V56" s="23">
        <v>10286</v>
      </c>
    </row>
    <row r="57" spans="2:22" x14ac:dyDescent="0.25">
      <c r="B57" s="22">
        <v>1</v>
      </c>
      <c r="C57" s="2">
        <v>1</v>
      </c>
      <c r="D57" s="18">
        <v>1</v>
      </c>
      <c r="E57" s="22">
        <v>60276</v>
      </c>
      <c r="F57" s="23" t="s">
        <v>71</v>
      </c>
      <c r="G57" s="22" t="s">
        <v>19</v>
      </c>
      <c r="H57" s="23">
        <v>30857</v>
      </c>
      <c r="I57" s="3">
        <v>9600</v>
      </c>
      <c r="J57" s="2">
        <v>14400</v>
      </c>
      <c r="K57" s="2">
        <v>24000</v>
      </c>
      <c r="L57" s="2">
        <v>0</v>
      </c>
      <c r="M57" s="2">
        <v>0</v>
      </c>
      <c r="N57" s="2">
        <v>0</v>
      </c>
      <c r="O57" s="2">
        <v>9600</v>
      </c>
      <c r="P57" s="2">
        <v>9600</v>
      </c>
      <c r="Q57" s="2">
        <v>9600</v>
      </c>
      <c r="R57" s="2">
        <v>9600</v>
      </c>
      <c r="S57" s="2">
        <v>9600</v>
      </c>
      <c r="T57" s="18">
        <v>9600</v>
      </c>
      <c r="U57" s="22">
        <v>105600</v>
      </c>
      <c r="V57" s="23">
        <v>0</v>
      </c>
    </row>
    <row r="58" spans="2:22" x14ac:dyDescent="0.25">
      <c r="B58" s="22">
        <v>1</v>
      </c>
      <c r="C58" s="2">
        <v>1</v>
      </c>
      <c r="D58" s="18">
        <v>1</v>
      </c>
      <c r="E58" s="22">
        <v>60276</v>
      </c>
      <c r="F58" s="23" t="s">
        <v>71</v>
      </c>
      <c r="G58" s="22" t="s">
        <v>20</v>
      </c>
      <c r="H58" s="23">
        <v>30857</v>
      </c>
      <c r="I58" s="3">
        <v>13985</v>
      </c>
      <c r="J58" s="2">
        <v>23385</v>
      </c>
      <c r="K58" s="2">
        <v>41885</v>
      </c>
      <c r="L58" s="2">
        <v>16440</v>
      </c>
      <c r="M58" s="2">
        <v>-2760</v>
      </c>
      <c r="N58" s="2">
        <v>-15760</v>
      </c>
      <c r="O58" s="2">
        <v>-13160</v>
      </c>
      <c r="P58" s="2">
        <v>-16560</v>
      </c>
      <c r="Q58" s="2">
        <v>-24960</v>
      </c>
      <c r="R58" s="2">
        <v>-24860</v>
      </c>
      <c r="S58" s="2">
        <v>-24755</v>
      </c>
      <c r="T58" s="18">
        <v>-24160</v>
      </c>
      <c r="U58" s="22">
        <v>0</v>
      </c>
      <c r="V58" s="23">
        <v>-48160</v>
      </c>
    </row>
    <row r="59" spans="2:22" hidden="1" x14ac:dyDescent="0.25">
      <c r="B59" s="22">
        <v>1</v>
      </c>
      <c r="C59" s="2">
        <v>1</v>
      </c>
      <c r="D59" s="18">
        <v>0</v>
      </c>
      <c r="E59" s="22">
        <v>21389</v>
      </c>
      <c r="F59" s="23" t="s">
        <v>35</v>
      </c>
      <c r="G59" s="22" t="s">
        <v>19</v>
      </c>
      <c r="H59" s="23">
        <v>35938</v>
      </c>
      <c r="I59" s="3">
        <v>0</v>
      </c>
      <c r="J59" s="2">
        <v>40000</v>
      </c>
      <c r="K59" s="2">
        <v>0</v>
      </c>
      <c r="L59" s="2">
        <v>0</v>
      </c>
      <c r="M59" s="2">
        <v>40000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18">
        <v>0</v>
      </c>
      <c r="U59" s="22">
        <v>80000</v>
      </c>
      <c r="V59" s="23">
        <v>0</v>
      </c>
    </row>
    <row r="60" spans="2:22" hidden="1" x14ac:dyDescent="0.25">
      <c r="B60" s="22">
        <v>1</v>
      </c>
      <c r="C60" s="2">
        <v>1</v>
      </c>
      <c r="D60" s="18">
        <v>0</v>
      </c>
      <c r="E60" s="22">
        <v>21389</v>
      </c>
      <c r="F60" s="23" t="s">
        <v>35</v>
      </c>
      <c r="G60" s="22" t="s">
        <v>20</v>
      </c>
      <c r="H60" s="23">
        <v>35938</v>
      </c>
      <c r="I60" s="3">
        <v>25711</v>
      </c>
      <c r="J60" s="2">
        <v>61123</v>
      </c>
      <c r="K60" s="2">
        <v>54586</v>
      </c>
      <c r="L60" s="2">
        <v>43586</v>
      </c>
      <c r="M60" s="2">
        <v>75886</v>
      </c>
      <c r="N60" s="2">
        <v>70886</v>
      </c>
      <c r="O60" s="2">
        <v>65886</v>
      </c>
      <c r="P60" s="2">
        <v>54886</v>
      </c>
      <c r="Q60" s="2">
        <v>49886</v>
      </c>
      <c r="R60" s="2">
        <v>37386</v>
      </c>
      <c r="S60" s="2">
        <v>28886</v>
      </c>
      <c r="T60" s="18">
        <v>22886</v>
      </c>
      <c r="U60" s="22">
        <v>0</v>
      </c>
      <c r="V60" s="23">
        <v>4886</v>
      </c>
    </row>
    <row r="61" spans="2:22" x14ac:dyDescent="0.25">
      <c r="B61" s="22">
        <v>1</v>
      </c>
      <c r="C61" s="2">
        <v>1</v>
      </c>
      <c r="D61" s="18">
        <v>1</v>
      </c>
      <c r="E61" s="22">
        <v>60965</v>
      </c>
      <c r="F61" s="23" t="s">
        <v>72</v>
      </c>
      <c r="G61" s="22" t="s">
        <v>19</v>
      </c>
      <c r="H61" s="23">
        <v>41537</v>
      </c>
      <c r="I61" s="3">
        <v>0</v>
      </c>
      <c r="J61" s="2">
        <v>0</v>
      </c>
      <c r="K61" s="2">
        <v>0</v>
      </c>
      <c r="L61" s="2">
        <v>40000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18">
        <v>0</v>
      </c>
      <c r="U61" s="22">
        <v>40000</v>
      </c>
      <c r="V61" s="23">
        <v>0</v>
      </c>
    </row>
    <row r="62" spans="2:22" x14ac:dyDescent="0.25">
      <c r="B62" s="22">
        <v>1</v>
      </c>
      <c r="C62" s="2">
        <v>1</v>
      </c>
      <c r="D62" s="18">
        <v>1</v>
      </c>
      <c r="E62" s="22">
        <v>60965</v>
      </c>
      <c r="F62" s="23" t="s">
        <v>72</v>
      </c>
      <c r="G62" s="22" t="s">
        <v>20</v>
      </c>
      <c r="H62" s="23">
        <v>41537</v>
      </c>
      <c r="I62" s="3">
        <v>-10243</v>
      </c>
      <c r="J62" s="2">
        <v>-15243</v>
      </c>
      <c r="K62" s="2">
        <v>-20743</v>
      </c>
      <c r="L62" s="2">
        <v>-8788</v>
      </c>
      <c r="M62" s="2">
        <v>-40988</v>
      </c>
      <c r="N62" s="2">
        <v>-62488</v>
      </c>
      <c r="O62" s="2">
        <v>-77488</v>
      </c>
      <c r="P62" s="2">
        <v>-90488</v>
      </c>
      <c r="Q62" s="2">
        <v>-109888</v>
      </c>
      <c r="R62" s="2">
        <v>-119388</v>
      </c>
      <c r="S62" s="2">
        <v>-136883</v>
      </c>
      <c r="T62" s="18">
        <v>-153888</v>
      </c>
      <c r="U62" s="22">
        <v>0</v>
      </c>
      <c r="V62" s="23">
        <v>-241888</v>
      </c>
    </row>
    <row r="63" spans="2:22" x14ac:dyDescent="0.25">
      <c r="B63" s="22">
        <v>1</v>
      </c>
      <c r="C63" s="2">
        <v>1</v>
      </c>
      <c r="D63" s="18">
        <v>1</v>
      </c>
      <c r="E63" s="22">
        <v>18259</v>
      </c>
      <c r="F63" s="23" t="s">
        <v>32</v>
      </c>
      <c r="G63" s="22" t="s">
        <v>19</v>
      </c>
      <c r="H63" s="23">
        <v>42068</v>
      </c>
      <c r="I63" s="3">
        <v>42000</v>
      </c>
      <c r="J63" s="2">
        <v>0</v>
      </c>
      <c r="K63" s="2">
        <v>42000</v>
      </c>
      <c r="L63" s="2">
        <v>0</v>
      </c>
      <c r="M63" s="2">
        <v>45000</v>
      </c>
      <c r="N63" s="2">
        <v>45000</v>
      </c>
      <c r="O63" s="2">
        <v>0</v>
      </c>
      <c r="P63" s="2">
        <v>0</v>
      </c>
      <c r="Q63" s="2">
        <v>0</v>
      </c>
      <c r="R63" s="2">
        <v>0</v>
      </c>
      <c r="S63" s="2">
        <v>45000</v>
      </c>
      <c r="T63" s="18">
        <v>0</v>
      </c>
      <c r="U63" s="22">
        <v>219000</v>
      </c>
      <c r="V63" s="23">
        <v>0</v>
      </c>
    </row>
    <row r="64" spans="2:22" x14ac:dyDescent="0.25">
      <c r="B64" s="22">
        <v>1</v>
      </c>
      <c r="C64" s="2">
        <v>1</v>
      </c>
      <c r="D64" s="18">
        <v>1</v>
      </c>
      <c r="E64" s="22">
        <v>18259</v>
      </c>
      <c r="F64" s="23" t="s">
        <v>32</v>
      </c>
      <c r="G64" s="22" t="s">
        <v>20</v>
      </c>
      <c r="H64" s="23">
        <v>42068</v>
      </c>
      <c r="I64" s="3">
        <v>64615.999000000003</v>
      </c>
      <c r="J64" s="2">
        <v>60027.999000000003</v>
      </c>
      <c r="K64" s="2">
        <v>87295.998999999996</v>
      </c>
      <c r="L64" s="2">
        <v>71295.998999999996</v>
      </c>
      <c r="M64" s="2">
        <v>96095.998999999996</v>
      </c>
      <c r="N64" s="2">
        <v>128095.999</v>
      </c>
      <c r="O64" s="2">
        <v>121095.999</v>
      </c>
      <c r="P64" s="2">
        <v>102095.999</v>
      </c>
      <c r="Q64" s="2">
        <v>90095.998999999996</v>
      </c>
      <c r="R64" s="2">
        <v>71100.998999999996</v>
      </c>
      <c r="S64" s="2">
        <v>107095.999</v>
      </c>
      <c r="T64" s="18">
        <v>101095.999</v>
      </c>
      <c r="U64" s="22">
        <v>0</v>
      </c>
      <c r="V64" s="23">
        <v>83095.998999999996</v>
      </c>
    </row>
    <row r="65" spans="2:22" x14ac:dyDescent="0.25">
      <c r="B65" s="22">
        <v>0</v>
      </c>
      <c r="C65" s="2">
        <v>0</v>
      </c>
      <c r="D65" s="18">
        <v>4</v>
      </c>
      <c r="E65" s="22">
        <v>66911</v>
      </c>
      <c r="F65" s="23" t="s">
        <v>79</v>
      </c>
      <c r="G65" s="22" t="s">
        <v>19</v>
      </c>
      <c r="H65" s="23">
        <v>43856</v>
      </c>
      <c r="I65" s="3">
        <v>0</v>
      </c>
      <c r="J65" s="2">
        <v>0</v>
      </c>
      <c r="K65" s="2">
        <v>0</v>
      </c>
      <c r="L65" s="2">
        <v>0</v>
      </c>
      <c r="M65" s="2">
        <v>20000</v>
      </c>
      <c r="N65" s="2">
        <v>0</v>
      </c>
      <c r="O65" s="2">
        <v>0</v>
      </c>
      <c r="P65" s="2">
        <v>48000</v>
      </c>
      <c r="Q65" s="2">
        <v>20000</v>
      </c>
      <c r="R65" s="2">
        <v>0</v>
      </c>
      <c r="S65" s="2">
        <v>0</v>
      </c>
      <c r="T65" s="18">
        <v>0</v>
      </c>
      <c r="U65" s="22">
        <v>88000</v>
      </c>
      <c r="V65" s="23">
        <v>0</v>
      </c>
    </row>
    <row r="66" spans="2:22" x14ac:dyDescent="0.25">
      <c r="B66" s="22">
        <v>0</v>
      </c>
      <c r="C66" s="2">
        <v>0</v>
      </c>
      <c r="D66" s="18">
        <v>4</v>
      </c>
      <c r="E66" s="22">
        <v>66911</v>
      </c>
      <c r="F66" s="23" t="s">
        <v>79</v>
      </c>
      <c r="G66" s="22" t="s">
        <v>20</v>
      </c>
      <c r="H66" s="23">
        <v>43856</v>
      </c>
      <c r="I66" s="3">
        <v>43856</v>
      </c>
      <c r="J66" s="2">
        <v>43856</v>
      </c>
      <c r="K66" s="2">
        <v>24056</v>
      </c>
      <c r="L66" s="2">
        <v>4056</v>
      </c>
      <c r="M66" s="2">
        <v>-9944</v>
      </c>
      <c r="N66" s="2">
        <v>-33944</v>
      </c>
      <c r="O66" s="2">
        <v>-33944</v>
      </c>
      <c r="P66" s="2">
        <v>-9944</v>
      </c>
      <c r="Q66" s="2">
        <v>-9944</v>
      </c>
      <c r="R66" s="2">
        <v>-27924</v>
      </c>
      <c r="S66" s="2">
        <v>-27924</v>
      </c>
      <c r="T66" s="18">
        <v>-27924</v>
      </c>
      <c r="U66" s="22">
        <v>0</v>
      </c>
      <c r="V66" s="23">
        <v>-27924</v>
      </c>
    </row>
    <row r="67" spans="2:22" x14ac:dyDescent="0.25">
      <c r="B67" s="22">
        <v>1</v>
      </c>
      <c r="C67" s="2">
        <v>1</v>
      </c>
      <c r="D67" s="18">
        <v>1</v>
      </c>
      <c r="E67" s="22">
        <v>59408</v>
      </c>
      <c r="F67" s="23" t="s">
        <v>63</v>
      </c>
      <c r="G67" s="22" t="s">
        <v>19</v>
      </c>
      <c r="H67" s="23">
        <v>50875</v>
      </c>
      <c r="I67" s="3">
        <v>0</v>
      </c>
      <c r="J67" s="2">
        <v>42000</v>
      </c>
      <c r="K67" s="2">
        <v>6000</v>
      </c>
      <c r="L67" s="2">
        <v>21000</v>
      </c>
      <c r="M67" s="2">
        <v>15000</v>
      </c>
      <c r="N67" s="2">
        <v>21000</v>
      </c>
      <c r="O67" s="2">
        <v>21000</v>
      </c>
      <c r="P67" s="2">
        <v>15000</v>
      </c>
      <c r="Q67" s="2">
        <v>0</v>
      </c>
      <c r="R67" s="2">
        <v>6000</v>
      </c>
      <c r="S67" s="2">
        <v>3000</v>
      </c>
      <c r="T67" s="18">
        <v>0</v>
      </c>
      <c r="U67" s="22">
        <v>150000</v>
      </c>
      <c r="V67" s="23">
        <v>0</v>
      </c>
    </row>
    <row r="68" spans="2:22" x14ac:dyDescent="0.25">
      <c r="B68" s="22">
        <v>1</v>
      </c>
      <c r="C68" s="2">
        <v>1</v>
      </c>
      <c r="D68" s="18">
        <v>1</v>
      </c>
      <c r="E68" s="22">
        <v>59408</v>
      </c>
      <c r="F68" s="23" t="s">
        <v>63</v>
      </c>
      <c r="G68" s="22" t="s">
        <v>20</v>
      </c>
      <c r="H68" s="23">
        <v>50875</v>
      </c>
      <c r="I68" s="3">
        <v>40825</v>
      </c>
      <c r="J68" s="2">
        <v>78237</v>
      </c>
      <c r="K68" s="2">
        <v>72750</v>
      </c>
      <c r="L68" s="2">
        <v>77750</v>
      </c>
      <c r="M68" s="2">
        <v>76550</v>
      </c>
      <c r="N68" s="2">
        <v>86550</v>
      </c>
      <c r="O68" s="2">
        <v>102550</v>
      </c>
      <c r="P68" s="2">
        <v>100550</v>
      </c>
      <c r="Q68" s="2">
        <v>90550</v>
      </c>
      <c r="R68" s="2">
        <v>79555</v>
      </c>
      <c r="S68" s="2">
        <v>74055</v>
      </c>
      <c r="T68" s="18">
        <v>68055</v>
      </c>
      <c r="U68" s="22">
        <v>0</v>
      </c>
      <c r="V68" s="23">
        <v>50055</v>
      </c>
    </row>
    <row r="69" spans="2:22" hidden="1" x14ac:dyDescent="0.25">
      <c r="B69" s="22">
        <v>1</v>
      </c>
      <c r="C69" s="2">
        <v>1</v>
      </c>
      <c r="D69" s="18">
        <v>0</v>
      </c>
      <c r="E69" s="22">
        <v>59411</v>
      </c>
      <c r="F69" s="23" t="s">
        <v>66</v>
      </c>
      <c r="G69" s="22" t="s">
        <v>19</v>
      </c>
      <c r="H69" s="23">
        <v>54955</v>
      </c>
      <c r="I69" s="3">
        <v>0</v>
      </c>
      <c r="J69" s="2">
        <v>24000</v>
      </c>
      <c r="K69" s="2">
        <v>36000</v>
      </c>
      <c r="L69" s="2">
        <v>0</v>
      </c>
      <c r="M69" s="2">
        <v>0</v>
      </c>
      <c r="N69" s="2">
        <v>0</v>
      </c>
      <c r="O69" s="2">
        <v>0</v>
      </c>
      <c r="P69" s="2">
        <v>6000</v>
      </c>
      <c r="Q69" s="2">
        <v>0</v>
      </c>
      <c r="R69" s="2">
        <v>39000</v>
      </c>
      <c r="S69" s="2">
        <v>0</v>
      </c>
      <c r="T69" s="18">
        <v>0</v>
      </c>
      <c r="U69" s="22">
        <v>105000</v>
      </c>
      <c r="V69" s="23">
        <v>0</v>
      </c>
    </row>
    <row r="70" spans="2:22" hidden="1" x14ac:dyDescent="0.25">
      <c r="B70" s="22">
        <v>1</v>
      </c>
      <c r="C70" s="2">
        <v>1</v>
      </c>
      <c r="D70" s="18">
        <v>0</v>
      </c>
      <c r="E70" s="22">
        <v>59411</v>
      </c>
      <c r="F70" s="23" t="s">
        <v>66</v>
      </c>
      <c r="G70" s="22" t="s">
        <v>20</v>
      </c>
      <c r="H70" s="23">
        <v>54955</v>
      </c>
      <c r="I70" s="3">
        <v>30502.999</v>
      </c>
      <c r="J70" s="2">
        <v>49914.999000000003</v>
      </c>
      <c r="K70" s="2">
        <v>76132.998999999996</v>
      </c>
      <c r="L70" s="2">
        <v>65132.999000000003</v>
      </c>
      <c r="M70" s="2">
        <v>53432.999000000003</v>
      </c>
      <c r="N70" s="2">
        <v>46432.999000000003</v>
      </c>
      <c r="O70" s="2">
        <v>39432.999000000003</v>
      </c>
      <c r="P70" s="2">
        <v>32432.999</v>
      </c>
      <c r="Q70" s="2">
        <v>25432.999</v>
      </c>
      <c r="R70" s="2">
        <v>49932.999000000003</v>
      </c>
      <c r="S70" s="2">
        <v>40927.999000000003</v>
      </c>
      <c r="T70" s="18">
        <v>34927.999000000003</v>
      </c>
      <c r="U70" s="22">
        <v>0</v>
      </c>
      <c r="V70" s="23">
        <v>16927.999</v>
      </c>
    </row>
    <row r="71" spans="2:22" x14ac:dyDescent="0.25">
      <c r="B71" s="22">
        <v>0</v>
      </c>
      <c r="C71" s="2">
        <v>0</v>
      </c>
      <c r="D71" s="18">
        <v>1</v>
      </c>
      <c r="E71" s="22">
        <v>66878</v>
      </c>
      <c r="F71" s="23" t="s">
        <v>78</v>
      </c>
      <c r="G71" s="22" t="s">
        <v>19</v>
      </c>
      <c r="H71" s="23">
        <v>55903</v>
      </c>
      <c r="I71" s="3">
        <v>0</v>
      </c>
      <c r="J71" s="2">
        <v>0</v>
      </c>
      <c r="K71" s="2">
        <v>0</v>
      </c>
      <c r="L71" s="2">
        <v>0</v>
      </c>
      <c r="M71" s="2">
        <v>21000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18">
        <v>0</v>
      </c>
      <c r="U71" s="22">
        <v>21000</v>
      </c>
      <c r="V71" s="23">
        <v>27000</v>
      </c>
    </row>
    <row r="72" spans="2:22" x14ac:dyDescent="0.25">
      <c r="B72" s="22">
        <v>0</v>
      </c>
      <c r="C72" s="2">
        <v>0</v>
      </c>
      <c r="D72" s="18">
        <v>1</v>
      </c>
      <c r="E72" s="22">
        <v>66878</v>
      </c>
      <c r="F72" s="23" t="s">
        <v>78</v>
      </c>
      <c r="G72" s="22" t="s">
        <v>20</v>
      </c>
      <c r="H72" s="23">
        <v>55903</v>
      </c>
      <c r="I72" s="3">
        <v>55903</v>
      </c>
      <c r="J72" s="2">
        <v>55903</v>
      </c>
      <c r="K72" s="2">
        <v>50953</v>
      </c>
      <c r="L72" s="2">
        <v>45953</v>
      </c>
      <c r="M72" s="2">
        <v>58453</v>
      </c>
      <c r="N72" s="2">
        <v>52453</v>
      </c>
      <c r="O72" s="2">
        <v>52453</v>
      </c>
      <c r="P72" s="2">
        <v>46453</v>
      </c>
      <c r="Q72" s="2">
        <v>41453</v>
      </c>
      <c r="R72" s="2">
        <v>36958</v>
      </c>
      <c r="S72" s="2">
        <v>36958</v>
      </c>
      <c r="T72" s="18">
        <v>36958</v>
      </c>
      <c r="U72" s="22">
        <v>0</v>
      </c>
      <c r="V72" s="23">
        <v>63958</v>
      </c>
    </row>
    <row r="73" spans="2:22" x14ac:dyDescent="0.25">
      <c r="B73" s="22">
        <v>1</v>
      </c>
      <c r="C73" s="2">
        <v>1</v>
      </c>
      <c r="D73" s="18">
        <v>1</v>
      </c>
      <c r="E73" s="22">
        <v>59403</v>
      </c>
      <c r="F73" s="23" t="s">
        <v>61</v>
      </c>
      <c r="G73" s="22" t="s">
        <v>19</v>
      </c>
      <c r="H73" s="23">
        <v>56970</v>
      </c>
      <c r="I73" s="3">
        <v>20000</v>
      </c>
      <c r="J73" s="2">
        <v>10000</v>
      </c>
      <c r="K73" s="2">
        <v>0</v>
      </c>
      <c r="L73" s="2">
        <v>10000</v>
      </c>
      <c r="M73" s="2">
        <v>20000</v>
      </c>
      <c r="N73" s="2">
        <v>20000</v>
      </c>
      <c r="O73" s="2">
        <v>20000</v>
      </c>
      <c r="P73" s="2">
        <v>10000</v>
      </c>
      <c r="Q73" s="2">
        <v>0</v>
      </c>
      <c r="R73" s="2">
        <v>0</v>
      </c>
      <c r="S73" s="2">
        <v>0</v>
      </c>
      <c r="T73" s="18">
        <v>0</v>
      </c>
      <c r="U73" s="22">
        <v>110000</v>
      </c>
      <c r="V73" s="23">
        <v>0</v>
      </c>
    </row>
    <row r="74" spans="2:22" x14ac:dyDescent="0.25">
      <c r="B74" s="22">
        <v>1</v>
      </c>
      <c r="C74" s="2">
        <v>1</v>
      </c>
      <c r="D74" s="18">
        <v>1</v>
      </c>
      <c r="E74" s="22">
        <v>59403</v>
      </c>
      <c r="F74" s="23" t="s">
        <v>61</v>
      </c>
      <c r="G74" s="22" t="s">
        <v>20</v>
      </c>
      <c r="H74" s="23">
        <v>56970</v>
      </c>
      <c r="I74" s="3">
        <v>37517.999000000003</v>
      </c>
      <c r="J74" s="2">
        <v>42929.999000000003</v>
      </c>
      <c r="K74" s="2">
        <v>28197.999</v>
      </c>
      <c r="L74" s="2">
        <v>22197.999</v>
      </c>
      <c r="M74" s="2">
        <v>21997.999</v>
      </c>
      <c r="N74" s="2">
        <v>28997.999</v>
      </c>
      <c r="O74" s="2">
        <v>41997.999000000003</v>
      </c>
      <c r="P74" s="2">
        <v>32997.999000000003</v>
      </c>
      <c r="Q74" s="2">
        <v>20997.999</v>
      </c>
      <c r="R74" s="2">
        <v>2002.999</v>
      </c>
      <c r="S74" s="2">
        <v>-7002.0010000000002</v>
      </c>
      <c r="T74" s="18">
        <v>-13002.001</v>
      </c>
      <c r="U74" s="22">
        <v>0</v>
      </c>
      <c r="V74" s="23">
        <v>-31002.001</v>
      </c>
    </row>
    <row r="75" spans="2:22" hidden="1" x14ac:dyDescent="0.25">
      <c r="B75" s="22">
        <v>1</v>
      </c>
      <c r="C75" s="2">
        <v>1</v>
      </c>
      <c r="D75" s="18">
        <v>0</v>
      </c>
      <c r="E75" s="22">
        <v>68086</v>
      </c>
      <c r="F75" s="23" t="s">
        <v>80</v>
      </c>
      <c r="G75" s="22" t="s">
        <v>19</v>
      </c>
      <c r="H75" s="23">
        <v>62501</v>
      </c>
      <c r="I75" s="3">
        <v>0</v>
      </c>
      <c r="J75" s="2">
        <v>30000</v>
      </c>
      <c r="K75" s="2">
        <v>0</v>
      </c>
      <c r="L75" s="2">
        <v>5000</v>
      </c>
      <c r="M75" s="2">
        <v>20000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18">
        <v>20000</v>
      </c>
      <c r="U75" s="22">
        <v>75000</v>
      </c>
      <c r="V75" s="23">
        <v>0</v>
      </c>
    </row>
    <row r="76" spans="2:22" hidden="1" x14ac:dyDescent="0.25">
      <c r="B76" s="22">
        <v>1</v>
      </c>
      <c r="C76" s="2">
        <v>1</v>
      </c>
      <c r="D76" s="18">
        <v>0</v>
      </c>
      <c r="E76" s="22">
        <v>68086</v>
      </c>
      <c r="F76" s="23" t="s">
        <v>80</v>
      </c>
      <c r="G76" s="22" t="s">
        <v>20</v>
      </c>
      <c r="H76" s="23">
        <v>62501</v>
      </c>
      <c r="I76" s="3">
        <v>52451</v>
      </c>
      <c r="J76" s="2">
        <v>77863</v>
      </c>
      <c r="K76" s="2">
        <v>71326</v>
      </c>
      <c r="L76" s="2">
        <v>65326</v>
      </c>
      <c r="M76" s="2">
        <v>77626</v>
      </c>
      <c r="N76" s="2">
        <v>72626</v>
      </c>
      <c r="O76" s="2">
        <v>67626</v>
      </c>
      <c r="P76" s="2">
        <v>56626</v>
      </c>
      <c r="Q76" s="2">
        <v>51626</v>
      </c>
      <c r="R76" s="2">
        <v>39126</v>
      </c>
      <c r="S76" s="2">
        <v>30626</v>
      </c>
      <c r="T76" s="18">
        <v>44626</v>
      </c>
      <c r="U76" s="22">
        <v>0</v>
      </c>
      <c r="V76" s="23">
        <v>26626</v>
      </c>
    </row>
    <row r="77" spans="2:22" x14ac:dyDescent="0.25">
      <c r="B77" s="22">
        <v>1</v>
      </c>
      <c r="C77" s="2">
        <v>1</v>
      </c>
      <c r="D77" s="18">
        <v>1</v>
      </c>
      <c r="E77" s="22">
        <v>59409</v>
      </c>
      <c r="F77" s="23" t="s">
        <v>64</v>
      </c>
      <c r="G77" s="22" t="s">
        <v>19</v>
      </c>
      <c r="H77" s="23">
        <v>69598</v>
      </c>
      <c r="I77" s="3">
        <v>0</v>
      </c>
      <c r="J77" s="2">
        <v>0</v>
      </c>
      <c r="K77" s="2">
        <v>0</v>
      </c>
      <c r="L77" s="2">
        <v>40000</v>
      </c>
      <c r="M77" s="2">
        <v>0</v>
      </c>
      <c r="N77" s="2">
        <v>0</v>
      </c>
      <c r="O77" s="2">
        <v>0</v>
      </c>
      <c r="P77" s="2">
        <v>30000</v>
      </c>
      <c r="Q77" s="2">
        <v>0</v>
      </c>
      <c r="R77" s="2">
        <v>0</v>
      </c>
      <c r="S77" s="2">
        <v>30000</v>
      </c>
      <c r="T77" s="18">
        <v>0</v>
      </c>
      <c r="U77" s="22">
        <v>100000</v>
      </c>
      <c r="V77" s="23">
        <v>0</v>
      </c>
    </row>
    <row r="78" spans="2:22" x14ac:dyDescent="0.25">
      <c r="B78" s="22">
        <v>1</v>
      </c>
      <c r="C78" s="2">
        <v>1</v>
      </c>
      <c r="D78" s="18">
        <v>1</v>
      </c>
      <c r="E78" s="22">
        <v>59409</v>
      </c>
      <c r="F78" s="23" t="s">
        <v>64</v>
      </c>
      <c r="G78" s="22" t="s">
        <v>20</v>
      </c>
      <c r="H78" s="23">
        <v>69598</v>
      </c>
      <c r="I78" s="3">
        <v>59548</v>
      </c>
      <c r="J78" s="2">
        <v>54960</v>
      </c>
      <c r="K78" s="2">
        <v>43473</v>
      </c>
      <c r="L78" s="2">
        <v>67473</v>
      </c>
      <c r="M78" s="2">
        <v>51273</v>
      </c>
      <c r="N78" s="2">
        <v>40273</v>
      </c>
      <c r="O78" s="2">
        <v>35273</v>
      </c>
      <c r="P78" s="2">
        <v>48273</v>
      </c>
      <c r="Q78" s="2">
        <v>38273</v>
      </c>
      <c r="R78" s="2">
        <v>21278</v>
      </c>
      <c r="S78" s="2">
        <v>42778</v>
      </c>
      <c r="T78" s="18">
        <v>36778</v>
      </c>
      <c r="U78" s="22">
        <v>0</v>
      </c>
      <c r="V78" s="23">
        <v>18778</v>
      </c>
    </row>
    <row r="79" spans="2:22" x14ac:dyDescent="0.25">
      <c r="B79" s="22">
        <v>1</v>
      </c>
      <c r="C79" s="2">
        <v>1</v>
      </c>
      <c r="D79" s="18">
        <v>1</v>
      </c>
      <c r="E79" s="22">
        <v>59404</v>
      </c>
      <c r="F79" s="23" t="s">
        <v>62</v>
      </c>
      <c r="G79" s="22" t="s">
        <v>19</v>
      </c>
      <c r="H79" s="23">
        <v>72215</v>
      </c>
      <c r="I79" s="3">
        <v>0</v>
      </c>
      <c r="J79" s="2">
        <v>20000</v>
      </c>
      <c r="K79" s="2">
        <v>0</v>
      </c>
      <c r="L79" s="2">
        <v>20000</v>
      </c>
      <c r="M79" s="2">
        <v>10000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18">
        <v>0</v>
      </c>
      <c r="U79" s="22">
        <v>50000</v>
      </c>
      <c r="V79" s="23">
        <v>0</v>
      </c>
    </row>
    <row r="80" spans="2:22" x14ac:dyDescent="0.25">
      <c r="B80" s="22">
        <v>1</v>
      </c>
      <c r="C80" s="2">
        <v>1</v>
      </c>
      <c r="D80" s="18">
        <v>1</v>
      </c>
      <c r="E80" s="22">
        <v>59404</v>
      </c>
      <c r="F80" s="23" t="s">
        <v>62</v>
      </c>
      <c r="G80" s="22" t="s">
        <v>20</v>
      </c>
      <c r="H80" s="23">
        <v>72215</v>
      </c>
      <c r="I80" s="3">
        <v>42762.999000000003</v>
      </c>
      <c r="J80" s="2">
        <v>58174.999000000003</v>
      </c>
      <c r="K80" s="2">
        <v>43442.999000000003</v>
      </c>
      <c r="L80" s="2">
        <v>47442.999000000003</v>
      </c>
      <c r="M80" s="2">
        <v>37242.999000000003</v>
      </c>
      <c r="N80" s="2">
        <v>24242.999</v>
      </c>
      <c r="O80" s="2">
        <v>17242.999</v>
      </c>
      <c r="P80" s="2">
        <v>-1757.001</v>
      </c>
      <c r="Q80" s="2">
        <v>-13757.001</v>
      </c>
      <c r="R80" s="2">
        <v>-32752.001</v>
      </c>
      <c r="S80" s="2">
        <v>-41757.000999999997</v>
      </c>
      <c r="T80" s="18">
        <v>-47757.000999999997</v>
      </c>
      <c r="U80" s="22">
        <v>0</v>
      </c>
      <c r="V80" s="23">
        <v>-65757.001000000004</v>
      </c>
    </row>
    <row r="81" spans="2:22" hidden="1" x14ac:dyDescent="0.25">
      <c r="B81" s="22">
        <v>1</v>
      </c>
      <c r="C81" s="2">
        <v>1</v>
      </c>
      <c r="D81" s="18">
        <v>0</v>
      </c>
      <c r="E81" s="22">
        <v>14075</v>
      </c>
      <c r="F81" s="23" t="s">
        <v>24</v>
      </c>
      <c r="G81" s="22" t="s">
        <v>19</v>
      </c>
      <c r="H81" s="23">
        <v>75123</v>
      </c>
      <c r="I81" s="3">
        <v>0</v>
      </c>
      <c r="J81" s="2">
        <v>0</v>
      </c>
      <c r="K81" s="2">
        <v>40000</v>
      </c>
      <c r="L81" s="2">
        <v>0</v>
      </c>
      <c r="M81" s="2">
        <v>0</v>
      </c>
      <c r="N81" s="2">
        <v>0</v>
      </c>
      <c r="O81" s="2">
        <v>40000</v>
      </c>
      <c r="P81" s="2">
        <v>0</v>
      </c>
      <c r="Q81" s="2">
        <v>0</v>
      </c>
      <c r="R81" s="2">
        <v>0</v>
      </c>
      <c r="S81" s="2">
        <v>0</v>
      </c>
      <c r="T81" s="18">
        <v>0</v>
      </c>
      <c r="U81" s="22">
        <v>80000</v>
      </c>
      <c r="V81" s="23">
        <v>0</v>
      </c>
    </row>
    <row r="82" spans="2:22" hidden="1" x14ac:dyDescent="0.25">
      <c r="B82" s="22">
        <v>1</v>
      </c>
      <c r="C82" s="2">
        <v>1</v>
      </c>
      <c r="D82" s="18">
        <v>0</v>
      </c>
      <c r="E82" s="22">
        <v>14075</v>
      </c>
      <c r="F82" s="23" t="s">
        <v>24</v>
      </c>
      <c r="G82" s="22" t="s">
        <v>20</v>
      </c>
      <c r="H82" s="23">
        <v>75123</v>
      </c>
      <c r="I82" s="3">
        <v>42272</v>
      </c>
      <c r="J82" s="2">
        <v>36138</v>
      </c>
      <c r="K82" s="2">
        <v>67057</v>
      </c>
      <c r="L82" s="2">
        <v>52164</v>
      </c>
      <c r="M82" s="2">
        <v>44139</v>
      </c>
      <c r="N82" s="2">
        <v>36474</v>
      </c>
      <c r="O82" s="2">
        <v>70629</v>
      </c>
      <c r="P82" s="2">
        <v>58184</v>
      </c>
      <c r="Q82" s="2">
        <v>50959</v>
      </c>
      <c r="R82" s="2">
        <v>38134</v>
      </c>
      <c r="S82" s="2">
        <v>27394</v>
      </c>
      <c r="T82" s="18">
        <v>18474</v>
      </c>
      <c r="U82" s="22">
        <v>0</v>
      </c>
      <c r="V82" s="23">
        <v>-17446</v>
      </c>
    </row>
    <row r="83" spans="2:22" x14ac:dyDescent="0.25">
      <c r="B83" s="22">
        <v>1</v>
      </c>
      <c r="C83" s="2">
        <v>1</v>
      </c>
      <c r="D83" s="18">
        <v>1</v>
      </c>
      <c r="E83" s="22">
        <v>59413</v>
      </c>
      <c r="F83" s="23" t="s">
        <v>68</v>
      </c>
      <c r="G83" s="22" t="s">
        <v>19</v>
      </c>
      <c r="H83" s="23">
        <v>79969</v>
      </c>
      <c r="I83" s="3">
        <v>0</v>
      </c>
      <c r="J83" s="2">
        <v>0</v>
      </c>
      <c r="K83" s="2">
        <v>45000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18">
        <v>0</v>
      </c>
      <c r="U83" s="22">
        <v>45000</v>
      </c>
      <c r="V83" s="23">
        <v>0</v>
      </c>
    </row>
    <row r="84" spans="2:22" x14ac:dyDescent="0.25">
      <c r="B84" s="22">
        <v>1</v>
      </c>
      <c r="C84" s="2">
        <v>1</v>
      </c>
      <c r="D84" s="18">
        <v>1</v>
      </c>
      <c r="E84" s="22">
        <v>59413</v>
      </c>
      <c r="F84" s="23" t="s">
        <v>68</v>
      </c>
      <c r="G84" s="22" t="s">
        <v>20</v>
      </c>
      <c r="H84" s="23">
        <v>79969</v>
      </c>
      <c r="I84" s="3">
        <v>69919</v>
      </c>
      <c r="J84" s="2">
        <v>65331</v>
      </c>
      <c r="K84" s="2">
        <v>98844</v>
      </c>
      <c r="L84" s="2">
        <v>82844</v>
      </c>
      <c r="M84" s="2">
        <v>66644</v>
      </c>
      <c r="N84" s="2">
        <v>55644</v>
      </c>
      <c r="O84" s="2">
        <v>50644</v>
      </c>
      <c r="P84" s="2">
        <v>33644</v>
      </c>
      <c r="Q84" s="2">
        <v>23644</v>
      </c>
      <c r="R84" s="2">
        <v>6649</v>
      </c>
      <c r="S84" s="2">
        <v>-1851</v>
      </c>
      <c r="T84" s="18">
        <v>-7851</v>
      </c>
      <c r="U84" s="22">
        <v>0</v>
      </c>
      <c r="V84" s="23">
        <v>-25851</v>
      </c>
    </row>
    <row r="85" spans="2:22" x14ac:dyDescent="0.25">
      <c r="B85" s="22">
        <v>2</v>
      </c>
      <c r="C85" s="2">
        <v>2</v>
      </c>
      <c r="D85" s="18">
        <v>2</v>
      </c>
      <c r="E85" s="22">
        <v>57728</v>
      </c>
      <c r="F85" s="23" t="s">
        <v>49</v>
      </c>
      <c r="G85" s="22" t="s">
        <v>19</v>
      </c>
      <c r="H85" s="23">
        <v>82013</v>
      </c>
      <c r="I85" s="3">
        <v>0</v>
      </c>
      <c r="J85" s="2">
        <v>60000</v>
      </c>
      <c r="K85" s="2">
        <v>93000</v>
      </c>
      <c r="L85" s="2">
        <v>0</v>
      </c>
      <c r="M85" s="2">
        <v>60000</v>
      </c>
      <c r="N85" s="2">
        <v>60000</v>
      </c>
      <c r="O85" s="2">
        <v>0</v>
      </c>
      <c r="P85" s="2">
        <v>0</v>
      </c>
      <c r="Q85" s="2">
        <v>30000</v>
      </c>
      <c r="R85" s="2">
        <v>0</v>
      </c>
      <c r="S85" s="2">
        <v>0</v>
      </c>
      <c r="T85" s="18">
        <v>0</v>
      </c>
      <c r="U85" s="22">
        <v>303000</v>
      </c>
      <c r="V85" s="23">
        <v>0</v>
      </c>
    </row>
    <row r="86" spans="2:22" x14ac:dyDescent="0.25">
      <c r="B86" s="22">
        <v>2</v>
      </c>
      <c r="C86" s="2">
        <v>2</v>
      </c>
      <c r="D86" s="18">
        <v>2</v>
      </c>
      <c r="E86" s="22">
        <v>57728</v>
      </c>
      <c r="F86" s="23" t="s">
        <v>49</v>
      </c>
      <c r="G86" s="22" t="s">
        <v>20</v>
      </c>
      <c r="H86" s="23">
        <v>82013</v>
      </c>
      <c r="I86" s="3">
        <v>47893</v>
      </c>
      <c r="J86" s="2">
        <v>98717</v>
      </c>
      <c r="K86" s="2">
        <v>167825</v>
      </c>
      <c r="L86" s="2">
        <v>129425</v>
      </c>
      <c r="M86" s="2">
        <v>140525</v>
      </c>
      <c r="N86" s="2">
        <v>177525</v>
      </c>
      <c r="O86" s="2">
        <v>159525</v>
      </c>
      <c r="P86" s="2">
        <v>125525</v>
      </c>
      <c r="Q86" s="2">
        <v>134125</v>
      </c>
      <c r="R86" s="2">
        <v>100135</v>
      </c>
      <c r="S86" s="2">
        <v>75135</v>
      </c>
      <c r="T86" s="18">
        <v>55135</v>
      </c>
      <c r="U86" s="22">
        <v>0</v>
      </c>
      <c r="V86" s="23">
        <v>-44865</v>
      </c>
    </row>
    <row r="87" spans="2:22" x14ac:dyDescent="0.25">
      <c r="B87" s="22">
        <v>1</v>
      </c>
      <c r="C87" s="2">
        <v>1</v>
      </c>
      <c r="D87" s="18">
        <v>1</v>
      </c>
      <c r="E87" s="22">
        <v>59402</v>
      </c>
      <c r="F87" s="23" t="s">
        <v>60</v>
      </c>
      <c r="G87" s="22" t="s">
        <v>19</v>
      </c>
      <c r="H87" s="23">
        <v>89988</v>
      </c>
      <c r="I87" s="3">
        <v>0</v>
      </c>
      <c r="J87" s="2">
        <v>0</v>
      </c>
      <c r="K87" s="2">
        <v>0</v>
      </c>
      <c r="L87" s="2">
        <v>0</v>
      </c>
      <c r="M87" s="2">
        <v>10000</v>
      </c>
      <c r="N87" s="2">
        <v>10000</v>
      </c>
      <c r="O87" s="2">
        <v>10000</v>
      </c>
      <c r="P87" s="2">
        <v>0</v>
      </c>
      <c r="Q87" s="2">
        <v>10000</v>
      </c>
      <c r="R87" s="2">
        <v>0</v>
      </c>
      <c r="S87" s="2">
        <v>0</v>
      </c>
      <c r="T87" s="18">
        <v>0</v>
      </c>
      <c r="U87" s="22">
        <v>40000</v>
      </c>
      <c r="V87" s="23">
        <v>0</v>
      </c>
    </row>
    <row r="88" spans="2:22" x14ac:dyDescent="0.25">
      <c r="B88" s="22">
        <v>1</v>
      </c>
      <c r="C88" s="2">
        <v>1</v>
      </c>
      <c r="D88" s="18">
        <v>1</v>
      </c>
      <c r="E88" s="22">
        <v>59402</v>
      </c>
      <c r="F88" s="23" t="s">
        <v>60</v>
      </c>
      <c r="G88" s="22" t="s">
        <v>20</v>
      </c>
      <c r="H88" s="23">
        <v>89988</v>
      </c>
      <c r="I88" s="3">
        <v>69938</v>
      </c>
      <c r="J88" s="2">
        <v>65350</v>
      </c>
      <c r="K88" s="2">
        <v>53863</v>
      </c>
      <c r="L88" s="2">
        <v>37863</v>
      </c>
      <c r="M88" s="2">
        <v>31663</v>
      </c>
      <c r="N88" s="2">
        <v>30663</v>
      </c>
      <c r="O88" s="2">
        <v>35663</v>
      </c>
      <c r="P88" s="2">
        <v>18663</v>
      </c>
      <c r="Q88" s="2">
        <v>18663</v>
      </c>
      <c r="R88" s="2">
        <v>1668</v>
      </c>
      <c r="S88" s="2">
        <v>-6832</v>
      </c>
      <c r="T88" s="18">
        <v>-12832</v>
      </c>
      <c r="U88" s="22">
        <v>0</v>
      </c>
      <c r="V88" s="23">
        <v>-30832</v>
      </c>
    </row>
    <row r="89" spans="2:22" x14ac:dyDescent="0.25">
      <c r="B89" s="22">
        <v>1</v>
      </c>
      <c r="C89" s="2">
        <v>1</v>
      </c>
      <c r="D89" s="18">
        <v>1</v>
      </c>
      <c r="E89" s="22">
        <v>58349</v>
      </c>
      <c r="F89" s="23" t="s">
        <v>51</v>
      </c>
      <c r="G89" s="22" t="s">
        <v>19</v>
      </c>
      <c r="H89" s="23">
        <v>97688</v>
      </c>
      <c r="I89" s="3">
        <v>0</v>
      </c>
      <c r="J89" s="2">
        <v>0</v>
      </c>
      <c r="K89" s="2">
        <v>30000</v>
      </c>
      <c r="L89" s="2">
        <v>30000</v>
      </c>
      <c r="M89" s="2">
        <v>20000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18">
        <v>0</v>
      </c>
      <c r="U89" s="22">
        <v>80000</v>
      </c>
      <c r="V89" s="23">
        <v>0</v>
      </c>
    </row>
    <row r="90" spans="2:22" x14ac:dyDescent="0.25">
      <c r="B90" s="22">
        <v>1</v>
      </c>
      <c r="C90" s="2">
        <v>1</v>
      </c>
      <c r="D90" s="18">
        <v>1</v>
      </c>
      <c r="E90" s="22">
        <v>58349</v>
      </c>
      <c r="F90" s="23" t="s">
        <v>51</v>
      </c>
      <c r="G90" s="22" t="s">
        <v>20</v>
      </c>
      <c r="H90" s="23">
        <v>97688</v>
      </c>
      <c r="I90" s="3">
        <v>56183</v>
      </c>
      <c r="J90" s="2">
        <v>51183</v>
      </c>
      <c r="K90" s="2">
        <v>76183</v>
      </c>
      <c r="L90" s="2">
        <v>80883</v>
      </c>
      <c r="M90" s="2">
        <v>72683</v>
      </c>
      <c r="N90" s="2">
        <v>53183</v>
      </c>
      <c r="O90" s="2">
        <v>40183</v>
      </c>
      <c r="P90" s="2">
        <v>29183</v>
      </c>
      <c r="Q90" s="2">
        <v>11783</v>
      </c>
      <c r="R90" s="2">
        <v>4283</v>
      </c>
      <c r="S90" s="2">
        <v>-13212</v>
      </c>
      <c r="T90" s="18">
        <v>-29712</v>
      </c>
      <c r="U90" s="22">
        <v>0</v>
      </c>
      <c r="V90" s="23">
        <v>-117712</v>
      </c>
    </row>
    <row r="91" spans="2:22" x14ac:dyDescent="0.25">
      <c r="B91" s="22">
        <v>1</v>
      </c>
      <c r="C91" s="2">
        <v>1</v>
      </c>
      <c r="D91" s="18">
        <v>1</v>
      </c>
      <c r="E91" s="22">
        <v>58348</v>
      </c>
      <c r="F91" s="23" t="s">
        <v>50</v>
      </c>
      <c r="G91" s="22" t="s">
        <v>19</v>
      </c>
      <c r="H91" s="23">
        <v>105487</v>
      </c>
      <c r="I91" s="3">
        <v>0</v>
      </c>
      <c r="J91" s="2">
        <v>0</v>
      </c>
      <c r="K91" s="2">
        <v>30000</v>
      </c>
      <c r="L91" s="2">
        <v>30000</v>
      </c>
      <c r="M91" s="2">
        <v>20000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18">
        <v>0</v>
      </c>
      <c r="U91" s="22">
        <v>80000</v>
      </c>
      <c r="V91" s="23">
        <v>0</v>
      </c>
    </row>
    <row r="92" spans="2:22" x14ac:dyDescent="0.25">
      <c r="B92" s="22">
        <v>1</v>
      </c>
      <c r="C92" s="2">
        <v>1</v>
      </c>
      <c r="D92" s="18">
        <v>1</v>
      </c>
      <c r="E92" s="22">
        <v>58348</v>
      </c>
      <c r="F92" s="23" t="s">
        <v>50</v>
      </c>
      <c r="G92" s="22" t="s">
        <v>20</v>
      </c>
      <c r="H92" s="23">
        <v>105487</v>
      </c>
      <c r="I92" s="3">
        <v>59982</v>
      </c>
      <c r="J92" s="2">
        <v>54982</v>
      </c>
      <c r="K92" s="2">
        <v>79982</v>
      </c>
      <c r="L92" s="2">
        <v>84682</v>
      </c>
      <c r="M92" s="2">
        <v>76482</v>
      </c>
      <c r="N92" s="2">
        <v>56982</v>
      </c>
      <c r="O92" s="2">
        <v>43982</v>
      </c>
      <c r="P92" s="2">
        <v>32982</v>
      </c>
      <c r="Q92" s="2">
        <v>15582</v>
      </c>
      <c r="R92" s="2">
        <v>8082</v>
      </c>
      <c r="S92" s="2">
        <v>-9413</v>
      </c>
      <c r="T92" s="18">
        <v>-25913</v>
      </c>
      <c r="U92" s="22">
        <v>0</v>
      </c>
      <c r="V92" s="23">
        <v>-113913</v>
      </c>
    </row>
    <row r="93" spans="2:22" hidden="1" x14ac:dyDescent="0.25">
      <c r="B93" s="22">
        <v>1</v>
      </c>
      <c r="C93" s="2">
        <v>1</v>
      </c>
      <c r="D93" s="18">
        <v>0</v>
      </c>
      <c r="E93" s="22">
        <v>4422</v>
      </c>
      <c r="F93" s="23" t="s">
        <v>18</v>
      </c>
      <c r="G93" s="22" t="s">
        <v>19</v>
      </c>
      <c r="H93" s="23">
        <v>110185</v>
      </c>
      <c r="I93" s="3">
        <v>30000</v>
      </c>
      <c r="J93" s="2">
        <v>0</v>
      </c>
      <c r="K93" s="2">
        <v>0</v>
      </c>
      <c r="L93" s="2">
        <v>30000</v>
      </c>
      <c r="M93" s="2">
        <v>0</v>
      </c>
      <c r="N93" s="2">
        <v>30000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18">
        <v>0</v>
      </c>
      <c r="U93" s="22">
        <v>90000</v>
      </c>
      <c r="V93" s="23">
        <v>0</v>
      </c>
    </row>
    <row r="94" spans="2:22" hidden="1" x14ac:dyDescent="0.25">
      <c r="B94" s="22">
        <v>1</v>
      </c>
      <c r="C94" s="2">
        <v>1</v>
      </c>
      <c r="D94" s="18">
        <v>0</v>
      </c>
      <c r="E94" s="22">
        <v>4422</v>
      </c>
      <c r="F94" s="23" t="s">
        <v>18</v>
      </c>
      <c r="G94" s="22" t="s">
        <v>20</v>
      </c>
      <c r="H94" s="23">
        <v>110185</v>
      </c>
      <c r="I94" s="3">
        <v>58114</v>
      </c>
      <c r="J94" s="2">
        <v>52183</v>
      </c>
      <c r="K94" s="2">
        <v>34806</v>
      </c>
      <c r="L94" s="2">
        <v>49351</v>
      </c>
      <c r="M94" s="2">
        <v>37304</v>
      </c>
      <c r="N94" s="2">
        <v>57464</v>
      </c>
      <c r="O94" s="2">
        <v>48832</v>
      </c>
      <c r="P94" s="2">
        <v>35762</v>
      </c>
      <c r="Q94" s="2">
        <v>27119</v>
      </c>
      <c r="R94" s="2">
        <v>11469</v>
      </c>
      <c r="S94" s="2">
        <v>2589</v>
      </c>
      <c r="T94" s="18">
        <v>-9189</v>
      </c>
      <c r="U94" s="22">
        <v>0</v>
      </c>
      <c r="V94" s="23">
        <v>-55898</v>
      </c>
    </row>
    <row r="95" spans="2:22" x14ac:dyDescent="0.25">
      <c r="B95" s="22">
        <v>1</v>
      </c>
      <c r="C95" s="2">
        <v>1</v>
      </c>
      <c r="D95" s="18">
        <v>1</v>
      </c>
      <c r="E95" s="22">
        <v>18134</v>
      </c>
      <c r="F95" s="23" t="s">
        <v>31</v>
      </c>
      <c r="G95" s="22" t="s">
        <v>19</v>
      </c>
      <c r="H95" s="23">
        <v>131011</v>
      </c>
      <c r="I95" s="3">
        <v>0</v>
      </c>
      <c r="J95" s="2">
        <v>0</v>
      </c>
      <c r="K95" s="2">
        <v>0</v>
      </c>
      <c r="L95" s="2">
        <v>0</v>
      </c>
      <c r="M95" s="2">
        <v>40000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18">
        <v>0</v>
      </c>
      <c r="U95" s="22">
        <v>40000</v>
      </c>
      <c r="V95" s="23">
        <v>0</v>
      </c>
    </row>
    <row r="96" spans="2:22" x14ac:dyDescent="0.25">
      <c r="B96" s="22">
        <v>1</v>
      </c>
      <c r="C96" s="2">
        <v>1</v>
      </c>
      <c r="D96" s="18">
        <v>1</v>
      </c>
      <c r="E96" s="22">
        <v>18134</v>
      </c>
      <c r="F96" s="23" t="s">
        <v>31</v>
      </c>
      <c r="G96" s="22" t="s">
        <v>20</v>
      </c>
      <c r="H96" s="23">
        <v>131011</v>
      </c>
      <c r="I96" s="3">
        <v>90575</v>
      </c>
      <c r="J96" s="2">
        <v>77980</v>
      </c>
      <c r="K96" s="2">
        <v>56931</v>
      </c>
      <c r="L96" s="2">
        <v>33055</v>
      </c>
      <c r="M96" s="2">
        <v>41219</v>
      </c>
      <c r="N96" s="2">
        <v>22377</v>
      </c>
      <c r="O96" s="2">
        <v>12479</v>
      </c>
      <c r="P96" s="2">
        <v>-11135</v>
      </c>
      <c r="Q96" s="2">
        <v>-25931</v>
      </c>
      <c r="R96" s="2">
        <v>-47024</v>
      </c>
      <c r="S96" s="2">
        <v>-61622</v>
      </c>
      <c r="T96" s="18">
        <v>-70622</v>
      </c>
      <c r="U96" s="22">
        <v>0</v>
      </c>
      <c r="V96" s="23">
        <v>-106222</v>
      </c>
    </row>
    <row r="97" spans="2:22" x14ac:dyDescent="0.25">
      <c r="B97" s="22">
        <v>1</v>
      </c>
      <c r="C97" s="2">
        <v>1</v>
      </c>
      <c r="D97" s="18">
        <v>1</v>
      </c>
      <c r="E97" s="22">
        <v>58556</v>
      </c>
      <c r="F97" s="23" t="s">
        <v>53</v>
      </c>
      <c r="G97" s="22" t="s">
        <v>19</v>
      </c>
      <c r="H97" s="23">
        <v>138502</v>
      </c>
      <c r="I97" s="3">
        <v>40000</v>
      </c>
      <c r="J97" s="2">
        <v>80000</v>
      </c>
      <c r="K97" s="2">
        <v>60000</v>
      </c>
      <c r="L97" s="2">
        <v>0</v>
      </c>
      <c r="M97" s="2">
        <v>50000</v>
      </c>
      <c r="N97" s="2">
        <v>130000</v>
      </c>
      <c r="O97" s="2">
        <v>10000</v>
      </c>
      <c r="P97" s="2">
        <v>0</v>
      </c>
      <c r="Q97" s="2">
        <v>0</v>
      </c>
      <c r="R97" s="2">
        <v>0</v>
      </c>
      <c r="S97" s="2">
        <v>0</v>
      </c>
      <c r="T97" s="18">
        <v>0</v>
      </c>
      <c r="U97" s="22">
        <v>370000</v>
      </c>
      <c r="V97" s="23">
        <v>0</v>
      </c>
    </row>
    <row r="98" spans="2:22" x14ac:dyDescent="0.25">
      <c r="B98" s="22">
        <v>1</v>
      </c>
      <c r="C98" s="2">
        <v>1</v>
      </c>
      <c r="D98" s="18">
        <v>1</v>
      </c>
      <c r="E98" s="22">
        <v>58556</v>
      </c>
      <c r="F98" s="23" t="s">
        <v>53</v>
      </c>
      <c r="G98" s="22" t="s">
        <v>20</v>
      </c>
      <c r="H98" s="23">
        <v>138502</v>
      </c>
      <c r="I98" s="3">
        <v>79067</v>
      </c>
      <c r="J98" s="2">
        <v>139272</v>
      </c>
      <c r="K98" s="2">
        <v>-16165</v>
      </c>
      <c r="L98" s="2">
        <v>-69217</v>
      </c>
      <c r="M98" s="2">
        <v>-54767</v>
      </c>
      <c r="N98" s="2">
        <v>39533</v>
      </c>
      <c r="O98" s="2">
        <v>27773</v>
      </c>
      <c r="P98" s="2">
        <v>2473</v>
      </c>
      <c r="Q98" s="2">
        <v>-19063</v>
      </c>
      <c r="R98" s="2">
        <v>-56798</v>
      </c>
      <c r="S98" s="2">
        <v>-71798</v>
      </c>
      <c r="T98" s="18">
        <v>-81598</v>
      </c>
      <c r="U98" s="22">
        <v>0</v>
      </c>
      <c r="V98" s="23">
        <v>-133648</v>
      </c>
    </row>
    <row r="99" spans="2:22" x14ac:dyDescent="0.25">
      <c r="B99" s="22">
        <v>1</v>
      </c>
      <c r="C99" s="2">
        <v>1</v>
      </c>
      <c r="D99" s="18">
        <v>1</v>
      </c>
      <c r="E99" s="22">
        <v>14356</v>
      </c>
      <c r="F99" s="23" t="s">
        <v>26</v>
      </c>
      <c r="G99" s="22" t="s">
        <v>19</v>
      </c>
      <c r="H99" s="23">
        <v>156392</v>
      </c>
      <c r="I99" s="3">
        <v>0</v>
      </c>
      <c r="J99" s="2">
        <v>0</v>
      </c>
      <c r="K99" s="2">
        <v>0</v>
      </c>
      <c r="L99" s="2">
        <v>0</v>
      </c>
      <c r="M99" s="2">
        <v>50000</v>
      </c>
      <c r="N99" s="2">
        <v>50000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18">
        <v>0</v>
      </c>
      <c r="U99" s="22">
        <v>100000</v>
      </c>
      <c r="V99" s="23">
        <v>0</v>
      </c>
    </row>
    <row r="100" spans="2:22" x14ac:dyDescent="0.25">
      <c r="B100" s="22">
        <v>1</v>
      </c>
      <c r="C100" s="2">
        <v>1</v>
      </c>
      <c r="D100" s="18">
        <v>1</v>
      </c>
      <c r="E100" s="22">
        <v>14356</v>
      </c>
      <c r="F100" s="23" t="s">
        <v>26</v>
      </c>
      <c r="G100" s="22" t="s">
        <v>20</v>
      </c>
      <c r="H100" s="23">
        <v>156392</v>
      </c>
      <c r="I100" s="3">
        <v>77711</v>
      </c>
      <c r="J100" s="2">
        <v>70163</v>
      </c>
      <c r="K100" s="2">
        <v>48970</v>
      </c>
      <c r="L100" s="2">
        <v>18818</v>
      </c>
      <c r="M100" s="2">
        <v>52368</v>
      </c>
      <c r="N100" s="2">
        <v>82868</v>
      </c>
      <c r="O100" s="2">
        <v>70668</v>
      </c>
      <c r="P100" s="2">
        <v>53668</v>
      </c>
      <c r="Q100" s="2">
        <v>43668</v>
      </c>
      <c r="R100" s="2">
        <v>26673</v>
      </c>
      <c r="S100" s="2">
        <v>18173</v>
      </c>
      <c r="T100" s="18">
        <v>12173</v>
      </c>
      <c r="U100" s="22">
        <v>0</v>
      </c>
      <c r="V100" s="23">
        <v>-10343</v>
      </c>
    </row>
    <row r="101" spans="2:22" hidden="1" x14ac:dyDescent="0.25">
      <c r="B101" s="22">
        <v>4</v>
      </c>
      <c r="C101" s="2">
        <v>4</v>
      </c>
      <c r="D101" s="18">
        <v>0</v>
      </c>
      <c r="E101" s="22">
        <v>68103</v>
      </c>
      <c r="F101" s="23" t="s">
        <v>81</v>
      </c>
      <c r="G101" s="22" t="s">
        <v>19</v>
      </c>
      <c r="H101" s="23">
        <v>189102</v>
      </c>
      <c r="I101" s="3">
        <v>0</v>
      </c>
      <c r="J101" s="2">
        <v>0</v>
      </c>
      <c r="K101" s="2">
        <v>0</v>
      </c>
      <c r="L101" s="2">
        <v>0</v>
      </c>
      <c r="M101" s="2">
        <v>0</v>
      </c>
      <c r="N101" s="2">
        <v>124000</v>
      </c>
      <c r="O101" s="2">
        <v>40000</v>
      </c>
      <c r="P101" s="2">
        <v>0</v>
      </c>
      <c r="Q101" s="2">
        <v>0</v>
      </c>
      <c r="R101" s="2">
        <v>0</v>
      </c>
      <c r="S101" s="2">
        <v>160000</v>
      </c>
      <c r="T101" s="18">
        <v>40000</v>
      </c>
      <c r="U101" s="22">
        <v>364000</v>
      </c>
      <c r="V101" s="23">
        <v>12000</v>
      </c>
    </row>
    <row r="102" spans="2:22" hidden="1" x14ac:dyDescent="0.25">
      <c r="B102" s="22">
        <v>4</v>
      </c>
      <c r="C102" s="2">
        <v>4</v>
      </c>
      <c r="D102" s="18">
        <v>0</v>
      </c>
      <c r="E102" s="22">
        <v>68103</v>
      </c>
      <c r="F102" s="23" t="s">
        <v>81</v>
      </c>
      <c r="G102" s="22" t="s">
        <v>20</v>
      </c>
      <c r="H102" s="23">
        <v>189102</v>
      </c>
      <c r="I102" s="3">
        <v>134842</v>
      </c>
      <c r="J102" s="2">
        <v>116490</v>
      </c>
      <c r="K102" s="2">
        <v>89424</v>
      </c>
      <c r="L102" s="2">
        <v>39024</v>
      </c>
      <c r="M102" s="2">
        <v>-8276</v>
      </c>
      <c r="N102" s="2">
        <v>94724</v>
      </c>
      <c r="O102" s="2">
        <v>106724</v>
      </c>
      <c r="P102" s="2">
        <v>62724</v>
      </c>
      <c r="Q102" s="2">
        <v>41324</v>
      </c>
      <c r="R102" s="2">
        <v>-8676</v>
      </c>
      <c r="S102" s="2">
        <v>109324</v>
      </c>
      <c r="T102" s="18">
        <v>117324</v>
      </c>
      <c r="U102" s="22">
        <v>0</v>
      </c>
      <c r="V102" s="23">
        <v>-6676</v>
      </c>
    </row>
    <row r="103" spans="2:22" x14ac:dyDescent="0.25">
      <c r="B103" s="22">
        <v>1</v>
      </c>
      <c r="C103" s="2">
        <v>1</v>
      </c>
      <c r="D103" s="18">
        <v>1</v>
      </c>
      <c r="E103" s="22">
        <v>29754</v>
      </c>
      <c r="F103" s="23" t="s">
        <v>38</v>
      </c>
      <c r="G103" s="22" t="s">
        <v>19</v>
      </c>
      <c r="H103" s="23">
        <v>192412</v>
      </c>
      <c r="I103" s="3">
        <v>9000</v>
      </c>
      <c r="J103" s="2">
        <v>40000</v>
      </c>
      <c r="K103" s="2">
        <v>0</v>
      </c>
      <c r="L103" s="2">
        <v>0</v>
      </c>
      <c r="M103" s="2">
        <v>0</v>
      </c>
      <c r="N103" s="2">
        <v>0</v>
      </c>
      <c r="O103" s="2">
        <v>40000</v>
      </c>
      <c r="P103" s="2">
        <v>40000</v>
      </c>
      <c r="Q103" s="2">
        <v>152000</v>
      </c>
      <c r="R103" s="2">
        <v>40000</v>
      </c>
      <c r="S103" s="2">
        <v>72000</v>
      </c>
      <c r="T103" s="18">
        <v>0</v>
      </c>
      <c r="U103" s="22">
        <v>393000</v>
      </c>
      <c r="V103" s="23">
        <v>192000</v>
      </c>
    </row>
    <row r="104" spans="2:22" x14ac:dyDescent="0.25">
      <c r="B104" s="22">
        <v>1</v>
      </c>
      <c r="C104" s="2">
        <v>1</v>
      </c>
      <c r="D104" s="18">
        <v>1</v>
      </c>
      <c r="E104" s="22">
        <v>29754</v>
      </c>
      <c r="F104" s="23" t="s">
        <v>38</v>
      </c>
      <c r="G104" s="22" t="s">
        <v>20</v>
      </c>
      <c r="H104" s="23">
        <v>192412</v>
      </c>
      <c r="I104" s="3">
        <v>-76054</v>
      </c>
      <c r="J104" s="2">
        <v>-126526</v>
      </c>
      <c r="K104" s="2">
        <v>-210409</v>
      </c>
      <c r="L104" s="2">
        <v>-247549</v>
      </c>
      <c r="M104" s="2">
        <v>-280949</v>
      </c>
      <c r="N104" s="2">
        <v>-339939</v>
      </c>
      <c r="O104" s="2">
        <v>-325689</v>
      </c>
      <c r="P104" s="2">
        <v>-316389</v>
      </c>
      <c r="Q104" s="2">
        <v>-189589</v>
      </c>
      <c r="R104" s="2">
        <v>-181864</v>
      </c>
      <c r="S104" s="2">
        <v>-133724</v>
      </c>
      <c r="T104" s="18">
        <v>-139724</v>
      </c>
      <c r="U104" s="22">
        <v>0</v>
      </c>
      <c r="V104" s="23">
        <v>34276</v>
      </c>
    </row>
    <row r="105" spans="2:22" x14ac:dyDescent="0.25">
      <c r="B105" s="22">
        <v>1</v>
      </c>
      <c r="C105" s="2">
        <v>1</v>
      </c>
      <c r="D105" s="18">
        <v>1</v>
      </c>
      <c r="E105" s="22">
        <v>45708</v>
      </c>
      <c r="F105" s="23" t="s">
        <v>41</v>
      </c>
      <c r="G105" s="22" t="s">
        <v>19</v>
      </c>
      <c r="H105" s="23">
        <v>202962</v>
      </c>
      <c r="I105" s="3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18">
        <v>0</v>
      </c>
      <c r="U105" s="22">
        <v>0</v>
      </c>
      <c r="V105" s="23">
        <v>0</v>
      </c>
    </row>
    <row r="106" spans="2:22" x14ac:dyDescent="0.25">
      <c r="B106" s="22">
        <v>1</v>
      </c>
      <c r="C106" s="2">
        <v>1</v>
      </c>
      <c r="D106" s="18">
        <v>1</v>
      </c>
      <c r="E106" s="22">
        <v>45708</v>
      </c>
      <c r="F106" s="23" t="s">
        <v>41</v>
      </c>
      <c r="G106" s="22" t="s">
        <v>20</v>
      </c>
      <c r="H106" s="23">
        <v>202962</v>
      </c>
      <c r="I106" s="3">
        <v>187912</v>
      </c>
      <c r="J106" s="2">
        <v>183324</v>
      </c>
      <c r="K106" s="2">
        <v>171837</v>
      </c>
      <c r="L106" s="2">
        <v>155837</v>
      </c>
      <c r="M106" s="2">
        <v>139637</v>
      </c>
      <c r="N106" s="2">
        <v>128637</v>
      </c>
      <c r="O106" s="2">
        <v>123637</v>
      </c>
      <c r="P106" s="2">
        <v>106637</v>
      </c>
      <c r="Q106" s="2">
        <v>96637</v>
      </c>
      <c r="R106" s="2">
        <v>79642</v>
      </c>
      <c r="S106" s="2">
        <v>71142</v>
      </c>
      <c r="T106" s="18">
        <v>65142</v>
      </c>
      <c r="U106" s="22">
        <v>0</v>
      </c>
      <c r="V106" s="23">
        <v>47142</v>
      </c>
    </row>
    <row r="107" spans="2:22" x14ac:dyDescent="0.25">
      <c r="B107" s="22">
        <v>0</v>
      </c>
      <c r="C107" s="2">
        <v>0</v>
      </c>
      <c r="D107" s="18">
        <v>1</v>
      </c>
      <c r="E107" s="22">
        <v>51892</v>
      </c>
      <c r="F107" s="23" t="s">
        <v>45</v>
      </c>
      <c r="G107" s="22" t="s">
        <v>19</v>
      </c>
      <c r="H107" s="23">
        <v>216193</v>
      </c>
      <c r="I107" s="3">
        <v>70000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18">
        <v>0</v>
      </c>
      <c r="U107" s="22">
        <v>70000</v>
      </c>
      <c r="V107" s="23">
        <v>0</v>
      </c>
    </row>
    <row r="108" spans="2:22" x14ac:dyDescent="0.25">
      <c r="B108" s="22">
        <v>0</v>
      </c>
      <c r="C108" s="2">
        <v>0</v>
      </c>
      <c r="D108" s="18">
        <v>1</v>
      </c>
      <c r="E108" s="22">
        <v>51892</v>
      </c>
      <c r="F108" s="23" t="s">
        <v>45</v>
      </c>
      <c r="G108" s="22" t="s">
        <v>20</v>
      </c>
      <c r="H108" s="23">
        <v>216193</v>
      </c>
      <c r="I108" s="3">
        <v>255388.99900000001</v>
      </c>
      <c r="J108" s="2">
        <v>254588.99900000001</v>
      </c>
      <c r="K108" s="2">
        <v>245343.99900000001</v>
      </c>
      <c r="L108" s="2">
        <v>239293.99900000001</v>
      </c>
      <c r="M108" s="2">
        <v>226543.99900000001</v>
      </c>
      <c r="N108" s="2">
        <v>218543.99900000001</v>
      </c>
      <c r="O108" s="2">
        <v>216543.99900000001</v>
      </c>
      <c r="P108" s="2">
        <v>208543.99900000001</v>
      </c>
      <c r="Q108" s="2">
        <v>201543.99900000001</v>
      </c>
      <c r="R108" s="2">
        <v>195048.99900000001</v>
      </c>
      <c r="S108" s="2">
        <v>194543.99900000001</v>
      </c>
      <c r="T108" s="18">
        <v>194543.99900000001</v>
      </c>
      <c r="U108" s="22">
        <v>0</v>
      </c>
      <c r="V108" s="23">
        <v>194543.99900000001</v>
      </c>
    </row>
    <row r="109" spans="2:22" x14ac:dyDescent="0.25">
      <c r="B109" s="22">
        <v>2</v>
      </c>
      <c r="C109" s="2">
        <v>2</v>
      </c>
      <c r="D109" s="18">
        <v>4</v>
      </c>
      <c r="E109" s="22">
        <v>45869</v>
      </c>
      <c r="F109" s="23" t="s">
        <v>42</v>
      </c>
      <c r="G109" s="22" t="s">
        <v>19</v>
      </c>
      <c r="H109" s="23">
        <v>289075</v>
      </c>
      <c r="I109" s="3">
        <v>32000</v>
      </c>
      <c r="J109" s="2">
        <v>80000</v>
      </c>
      <c r="K109" s="2">
        <v>40000</v>
      </c>
      <c r="L109" s="2">
        <v>48000</v>
      </c>
      <c r="M109" s="2">
        <v>104000</v>
      </c>
      <c r="N109" s="2">
        <v>200000</v>
      </c>
      <c r="O109" s="2">
        <v>40000</v>
      </c>
      <c r="P109" s="2">
        <v>0</v>
      </c>
      <c r="Q109" s="2">
        <v>0</v>
      </c>
      <c r="R109" s="2">
        <v>0</v>
      </c>
      <c r="S109" s="2">
        <v>0</v>
      </c>
      <c r="T109" s="18">
        <v>0</v>
      </c>
      <c r="U109" s="22">
        <v>544000</v>
      </c>
      <c r="V109" s="23">
        <v>0</v>
      </c>
    </row>
    <row r="110" spans="2:22" x14ac:dyDescent="0.25">
      <c r="B110" s="22">
        <v>2</v>
      </c>
      <c r="C110" s="2">
        <v>2</v>
      </c>
      <c r="D110" s="18">
        <v>4</v>
      </c>
      <c r="E110" s="22">
        <v>45869</v>
      </c>
      <c r="F110" s="23" t="s">
        <v>42</v>
      </c>
      <c r="G110" s="22" t="s">
        <v>20</v>
      </c>
      <c r="H110" s="23">
        <v>289075</v>
      </c>
      <c r="I110" s="3">
        <v>-40849</v>
      </c>
      <c r="J110" s="2">
        <v>-11130</v>
      </c>
      <c r="K110" s="2">
        <v>-49988</v>
      </c>
      <c r="L110" s="2">
        <v>-87040</v>
      </c>
      <c r="M110" s="2">
        <v>-70740</v>
      </c>
      <c r="N110" s="2">
        <v>59800</v>
      </c>
      <c r="O110" s="2">
        <v>58940</v>
      </c>
      <c r="P110" s="2">
        <v>-18920</v>
      </c>
      <c r="Q110" s="2">
        <v>-79380</v>
      </c>
      <c r="R110" s="2">
        <v>-154220</v>
      </c>
      <c r="S110" s="2">
        <v>-182880</v>
      </c>
      <c r="T110" s="18">
        <v>-203876</v>
      </c>
      <c r="U110" s="22">
        <v>0</v>
      </c>
      <c r="V110" s="23">
        <v>-257916</v>
      </c>
    </row>
    <row r="111" spans="2:22" x14ac:dyDescent="0.25">
      <c r="B111" s="22">
        <v>0</v>
      </c>
      <c r="C111" s="2">
        <v>0</v>
      </c>
      <c r="D111" s="18">
        <v>1</v>
      </c>
      <c r="E111" s="22">
        <v>18877</v>
      </c>
      <c r="F111" s="23" t="s">
        <v>34</v>
      </c>
      <c r="G111" s="22" t="s">
        <v>19</v>
      </c>
      <c r="H111" s="23">
        <v>446073</v>
      </c>
      <c r="I111" s="3">
        <v>0</v>
      </c>
      <c r="J111" s="2">
        <v>0</v>
      </c>
      <c r="K111" s="2">
        <v>0</v>
      </c>
      <c r="L111" s="2">
        <v>100000</v>
      </c>
      <c r="M111" s="2">
        <v>0</v>
      </c>
      <c r="N111" s="2">
        <v>100000</v>
      </c>
      <c r="O111" s="2">
        <v>50000</v>
      </c>
      <c r="P111" s="2">
        <v>0</v>
      </c>
      <c r="Q111" s="2">
        <v>0</v>
      </c>
      <c r="R111" s="2">
        <v>0</v>
      </c>
      <c r="S111" s="2">
        <v>0</v>
      </c>
      <c r="T111" s="18">
        <v>0</v>
      </c>
      <c r="U111" s="22">
        <v>250000</v>
      </c>
      <c r="V111" s="23">
        <v>0</v>
      </c>
    </row>
    <row r="112" spans="2:22" x14ac:dyDescent="0.25">
      <c r="B112" s="22">
        <v>0</v>
      </c>
      <c r="C112" s="2">
        <v>0</v>
      </c>
      <c r="D112" s="18">
        <v>1</v>
      </c>
      <c r="E112" s="22">
        <v>18877</v>
      </c>
      <c r="F112" s="23" t="s">
        <v>34</v>
      </c>
      <c r="G112" s="22" t="s">
        <v>20</v>
      </c>
      <c r="H112" s="23">
        <v>446073</v>
      </c>
      <c r="I112" s="3">
        <v>39023.000999999997</v>
      </c>
      <c r="J112" s="2">
        <v>10990.001</v>
      </c>
      <c r="K112" s="2">
        <v>-46295.999000000003</v>
      </c>
      <c r="L112" s="2">
        <v>1320.001</v>
      </c>
      <c r="M112" s="2">
        <v>-17500.999</v>
      </c>
      <c r="N112" s="2">
        <v>43435.000999999997</v>
      </c>
      <c r="O112" s="2">
        <v>69217.001000000004</v>
      </c>
      <c r="P112" s="2">
        <v>42313.000999999997</v>
      </c>
      <c r="Q112" s="2">
        <v>12099.001</v>
      </c>
      <c r="R112" s="2">
        <v>-17767.999</v>
      </c>
      <c r="S112" s="2">
        <v>-34757.999000000003</v>
      </c>
      <c r="T112" s="18">
        <v>-42649.999000000003</v>
      </c>
      <c r="U112" s="22">
        <v>0</v>
      </c>
      <c r="V112" s="23">
        <v>-43689.999000000003</v>
      </c>
    </row>
    <row r="113" spans="2:22" x14ac:dyDescent="0.25">
      <c r="B113" s="22">
        <v>0</v>
      </c>
      <c r="C113" s="2">
        <v>0</v>
      </c>
      <c r="D113" s="18">
        <v>1</v>
      </c>
      <c r="E113" s="22">
        <v>18329</v>
      </c>
      <c r="F113" s="23" t="s">
        <v>33</v>
      </c>
      <c r="G113" s="22" t="s">
        <v>19</v>
      </c>
      <c r="H113" s="23">
        <v>562332</v>
      </c>
      <c r="I113" s="3">
        <v>0</v>
      </c>
      <c r="J113" s="2">
        <v>0</v>
      </c>
      <c r="K113" s="2">
        <v>50000</v>
      </c>
      <c r="L113" s="2">
        <v>0</v>
      </c>
      <c r="M113" s="2">
        <v>50000</v>
      </c>
      <c r="N113" s="2">
        <v>0</v>
      </c>
      <c r="O113" s="2">
        <v>50000</v>
      </c>
      <c r="P113" s="2">
        <v>20000</v>
      </c>
      <c r="Q113" s="2">
        <v>0</v>
      </c>
      <c r="R113" s="2">
        <v>0</v>
      </c>
      <c r="S113" s="2">
        <v>0</v>
      </c>
      <c r="T113" s="18">
        <v>0</v>
      </c>
      <c r="U113" s="22">
        <v>170000</v>
      </c>
      <c r="V113" s="23">
        <v>0</v>
      </c>
    </row>
    <row r="114" spans="2:22" x14ac:dyDescent="0.25">
      <c r="B114" s="22">
        <v>0</v>
      </c>
      <c r="C114" s="2">
        <v>0</v>
      </c>
      <c r="D114" s="18">
        <v>1</v>
      </c>
      <c r="E114" s="22">
        <v>18329</v>
      </c>
      <c r="F114" s="23" t="s">
        <v>33</v>
      </c>
      <c r="G114" s="22" t="s">
        <v>20</v>
      </c>
      <c r="H114" s="23">
        <v>562332</v>
      </c>
      <c r="I114" s="3">
        <v>120960.001</v>
      </c>
      <c r="J114" s="2">
        <v>102002.001</v>
      </c>
      <c r="K114" s="2">
        <v>76766.001000000004</v>
      </c>
      <c r="L114" s="2">
        <v>8354.0010000000002</v>
      </c>
      <c r="M114" s="2">
        <v>17748.001</v>
      </c>
      <c r="N114" s="2">
        <v>-35403.999000000003</v>
      </c>
      <c r="O114" s="2">
        <v>-14653.999</v>
      </c>
      <c r="P114" s="2">
        <v>-15753.999</v>
      </c>
      <c r="Q114" s="2">
        <v>-44553.999000000003</v>
      </c>
      <c r="R114" s="2">
        <v>-73828.998999999996</v>
      </c>
      <c r="S114" s="2">
        <v>-92938.998999999996</v>
      </c>
      <c r="T114" s="18">
        <v>-111648.999</v>
      </c>
      <c r="U114" s="22">
        <v>0</v>
      </c>
      <c r="V114" s="23">
        <v>-367536.99900000001</v>
      </c>
    </row>
    <row r="115" spans="2:22" hidden="1" x14ac:dyDescent="0.25">
      <c r="B115" s="22">
        <v>1</v>
      </c>
      <c r="C115" s="2">
        <v>1</v>
      </c>
      <c r="D115" s="18">
        <v>0</v>
      </c>
      <c r="E115" s="22">
        <v>16292</v>
      </c>
      <c r="F115" s="23" t="s">
        <v>30</v>
      </c>
      <c r="G115" s="22" t="s">
        <v>19</v>
      </c>
      <c r="H115" s="23">
        <v>589513</v>
      </c>
      <c r="I115" s="3">
        <v>50000</v>
      </c>
      <c r="J115" s="2">
        <v>50000</v>
      </c>
      <c r="K115" s="2">
        <v>250000</v>
      </c>
      <c r="L115" s="2">
        <v>0</v>
      </c>
      <c r="M115" s="2">
        <v>200000</v>
      </c>
      <c r="N115" s="2">
        <v>300000</v>
      </c>
      <c r="O115" s="2">
        <v>200000</v>
      </c>
      <c r="P115" s="2">
        <v>0</v>
      </c>
      <c r="Q115" s="2">
        <v>0</v>
      </c>
      <c r="R115" s="2">
        <v>0</v>
      </c>
      <c r="S115" s="2">
        <v>0</v>
      </c>
      <c r="T115" s="18">
        <v>0</v>
      </c>
      <c r="U115" s="22">
        <v>1050000</v>
      </c>
      <c r="V115" s="23">
        <v>0</v>
      </c>
    </row>
    <row r="116" spans="2:22" hidden="1" x14ac:dyDescent="0.25">
      <c r="B116" s="22">
        <v>1</v>
      </c>
      <c r="C116" s="2">
        <v>1</v>
      </c>
      <c r="D116" s="18">
        <v>0</v>
      </c>
      <c r="E116" s="22">
        <v>16292</v>
      </c>
      <c r="F116" s="23" t="s">
        <v>30</v>
      </c>
      <c r="G116" s="22" t="s">
        <v>20</v>
      </c>
      <c r="H116" s="23">
        <v>589513</v>
      </c>
      <c r="I116" s="3">
        <v>-153665</v>
      </c>
      <c r="J116" s="2">
        <v>-207651</v>
      </c>
      <c r="K116" s="2">
        <v>-128714</v>
      </c>
      <c r="L116" s="2">
        <v>-279613</v>
      </c>
      <c r="M116" s="2">
        <v>-98283</v>
      </c>
      <c r="N116" s="2">
        <v>71438</v>
      </c>
      <c r="O116" s="2">
        <v>254314</v>
      </c>
      <c r="P116" s="2">
        <v>230665</v>
      </c>
      <c r="Q116" s="2">
        <v>222559</v>
      </c>
      <c r="R116" s="2">
        <v>192010</v>
      </c>
      <c r="S116" s="2">
        <v>179976</v>
      </c>
      <c r="T116" s="18">
        <v>163512</v>
      </c>
      <c r="U116" s="22">
        <v>0</v>
      </c>
      <c r="V116" s="23">
        <v>56282</v>
      </c>
    </row>
    <row r="117" spans="2:22" x14ac:dyDescent="0.25">
      <c r="B117" s="22">
        <v>5</v>
      </c>
      <c r="C117" s="2">
        <v>5</v>
      </c>
      <c r="D117" s="18">
        <v>5</v>
      </c>
      <c r="E117" s="22">
        <v>48614</v>
      </c>
      <c r="F117" s="23" t="s">
        <v>44</v>
      </c>
      <c r="G117" s="22" t="s">
        <v>19</v>
      </c>
      <c r="H117" s="23">
        <v>644232</v>
      </c>
      <c r="I117" s="3">
        <v>0</v>
      </c>
      <c r="J117" s="2">
        <v>0</v>
      </c>
      <c r="K117" s="2">
        <v>0</v>
      </c>
      <c r="L117" s="2">
        <v>0</v>
      </c>
      <c r="M117" s="2">
        <v>240000</v>
      </c>
      <c r="N117" s="2">
        <v>160000</v>
      </c>
      <c r="O117" s="2">
        <v>0</v>
      </c>
      <c r="P117" s="2">
        <v>0</v>
      </c>
      <c r="Q117" s="2">
        <v>80000</v>
      </c>
      <c r="R117" s="2">
        <v>0</v>
      </c>
      <c r="S117" s="2">
        <v>0</v>
      </c>
      <c r="T117" s="18">
        <v>0</v>
      </c>
      <c r="U117" s="22">
        <v>480000</v>
      </c>
      <c r="V117" s="23">
        <v>0</v>
      </c>
    </row>
    <row r="118" spans="2:22" x14ac:dyDescent="0.25">
      <c r="B118" s="22">
        <v>5</v>
      </c>
      <c r="C118" s="2">
        <v>5</v>
      </c>
      <c r="D118" s="18">
        <v>5</v>
      </c>
      <c r="E118" s="22">
        <v>48614</v>
      </c>
      <c r="F118" s="23" t="s">
        <v>44</v>
      </c>
      <c r="G118" s="22" t="s">
        <v>20</v>
      </c>
      <c r="H118" s="23">
        <v>644232</v>
      </c>
      <c r="I118" s="3">
        <v>420509.00099999999</v>
      </c>
      <c r="J118" s="2">
        <v>393033.00099999999</v>
      </c>
      <c r="K118" s="2">
        <v>317800.00099999999</v>
      </c>
      <c r="L118" s="2">
        <v>190610.00099999999</v>
      </c>
      <c r="M118" s="2">
        <v>241660.00099999999</v>
      </c>
      <c r="N118" s="2">
        <v>335810.00099999999</v>
      </c>
      <c r="O118" s="2">
        <v>258310.00099999999</v>
      </c>
      <c r="P118" s="2">
        <v>168910.00099999999</v>
      </c>
      <c r="Q118" s="2">
        <v>186510.00099999999</v>
      </c>
      <c r="R118" s="2">
        <v>97535.001000000004</v>
      </c>
      <c r="S118" s="2">
        <v>6025.0010000000002</v>
      </c>
      <c r="T118" s="18">
        <v>-71974.998999999996</v>
      </c>
      <c r="U118" s="22">
        <v>0</v>
      </c>
      <c r="V118" s="23">
        <v>-545974.99899999995</v>
      </c>
    </row>
    <row r="119" spans="2:22" x14ac:dyDescent="0.25">
      <c r="B119" s="22">
        <v>7</v>
      </c>
      <c r="C119" s="2">
        <v>7</v>
      </c>
      <c r="D119" s="18">
        <v>7</v>
      </c>
      <c r="E119" s="22">
        <v>56433</v>
      </c>
      <c r="F119" s="23" t="s">
        <v>47</v>
      </c>
      <c r="G119" s="22" t="s">
        <v>19</v>
      </c>
      <c r="H119" s="23">
        <v>719315</v>
      </c>
      <c r="I119" s="3">
        <v>0</v>
      </c>
      <c r="J119" s="2">
        <v>104000</v>
      </c>
      <c r="K119" s="2">
        <v>188000</v>
      </c>
      <c r="L119" s="2">
        <v>152000</v>
      </c>
      <c r="M119" s="2">
        <v>56000</v>
      </c>
      <c r="N119" s="2">
        <v>0</v>
      </c>
      <c r="O119" s="2">
        <v>44000</v>
      </c>
      <c r="P119" s="2">
        <v>0</v>
      </c>
      <c r="Q119" s="2">
        <v>0</v>
      </c>
      <c r="R119" s="2">
        <v>0</v>
      </c>
      <c r="S119" s="2">
        <v>0</v>
      </c>
      <c r="T119" s="18">
        <v>0</v>
      </c>
      <c r="U119" s="22">
        <v>544000</v>
      </c>
      <c r="V119" s="23">
        <v>120000</v>
      </c>
    </row>
    <row r="120" spans="2:22" x14ac:dyDescent="0.25">
      <c r="B120" s="22">
        <v>7</v>
      </c>
      <c r="C120" s="2">
        <v>7</v>
      </c>
      <c r="D120" s="18">
        <v>7</v>
      </c>
      <c r="E120" s="22">
        <v>56433</v>
      </c>
      <c r="F120" s="23" t="s">
        <v>47</v>
      </c>
      <c r="G120" s="22" t="s">
        <v>20</v>
      </c>
      <c r="H120" s="23">
        <v>719315</v>
      </c>
      <c r="I120" s="3">
        <v>610867</v>
      </c>
      <c r="J120" s="2">
        <v>680651</v>
      </c>
      <c r="K120" s="2">
        <v>786406</v>
      </c>
      <c r="L120" s="2">
        <v>813606</v>
      </c>
      <c r="M120" s="2">
        <v>723206</v>
      </c>
      <c r="N120" s="2">
        <v>644206</v>
      </c>
      <c r="O120" s="2">
        <v>637206</v>
      </c>
      <c r="P120" s="2">
        <v>518206</v>
      </c>
      <c r="Q120" s="2">
        <v>445406</v>
      </c>
      <c r="R120" s="2">
        <v>326441</v>
      </c>
      <c r="S120" s="2">
        <v>250941</v>
      </c>
      <c r="T120" s="18">
        <v>192941</v>
      </c>
      <c r="U120" s="22">
        <v>0</v>
      </c>
      <c r="V120" s="23">
        <v>58941</v>
      </c>
    </row>
    <row r="121" spans="2:22" hidden="1" x14ac:dyDescent="0.25">
      <c r="B121" s="22">
        <v>1</v>
      </c>
      <c r="C121" s="2">
        <v>1</v>
      </c>
      <c r="D121" s="18">
        <v>0</v>
      </c>
      <c r="E121" s="22">
        <v>13925</v>
      </c>
      <c r="F121" s="23" t="s">
        <v>21</v>
      </c>
      <c r="G121" s="22" t="s">
        <v>19</v>
      </c>
      <c r="H121" s="23">
        <v>774057</v>
      </c>
      <c r="I121" s="3">
        <v>100000</v>
      </c>
      <c r="J121" s="2">
        <v>200000</v>
      </c>
      <c r="K121" s="2">
        <v>300000</v>
      </c>
      <c r="L121" s="2">
        <v>300000</v>
      </c>
      <c r="M121" s="2">
        <v>0</v>
      </c>
      <c r="N121" s="2">
        <v>100000</v>
      </c>
      <c r="O121" s="2">
        <v>100000</v>
      </c>
      <c r="P121" s="2">
        <v>0</v>
      </c>
      <c r="Q121" s="2">
        <v>0</v>
      </c>
      <c r="R121" s="2">
        <v>0</v>
      </c>
      <c r="S121" s="2">
        <v>0</v>
      </c>
      <c r="T121" s="18">
        <v>0</v>
      </c>
      <c r="U121" s="22">
        <v>1100000</v>
      </c>
      <c r="V121" s="23">
        <v>0</v>
      </c>
    </row>
    <row r="122" spans="2:22" hidden="1" x14ac:dyDescent="0.25">
      <c r="B122" s="22">
        <v>1</v>
      </c>
      <c r="C122" s="2">
        <v>1</v>
      </c>
      <c r="D122" s="18">
        <v>0</v>
      </c>
      <c r="E122" s="22">
        <v>13925</v>
      </c>
      <c r="F122" s="23" t="s">
        <v>21</v>
      </c>
      <c r="G122" s="22" t="s">
        <v>20</v>
      </c>
      <c r="H122" s="23">
        <v>774057</v>
      </c>
      <c r="I122" s="3">
        <v>127336.001</v>
      </c>
      <c r="J122" s="2">
        <v>18764.001</v>
      </c>
      <c r="K122" s="2">
        <v>88033.001000000004</v>
      </c>
      <c r="L122" s="2">
        <v>168163.00099999999</v>
      </c>
      <c r="M122" s="2">
        <v>-56994.999000000003</v>
      </c>
      <c r="N122" s="2">
        <v>-64054.999000000003</v>
      </c>
      <c r="O122" s="2">
        <v>-178872.99900000001</v>
      </c>
      <c r="P122" s="2">
        <v>-277567.99900000001</v>
      </c>
      <c r="Q122" s="2">
        <v>-418513.99900000001</v>
      </c>
      <c r="R122" s="2">
        <v>-636211.99899999995</v>
      </c>
      <c r="S122" s="2">
        <v>-734171.99899999995</v>
      </c>
      <c r="T122" s="18">
        <v>-833787.99899999995</v>
      </c>
      <c r="U122" s="22">
        <v>0</v>
      </c>
      <c r="V122" s="23">
        <v>-1376467.9990000001</v>
      </c>
    </row>
    <row r="123" spans="2:22" x14ac:dyDescent="0.25">
      <c r="B123" s="22">
        <v>0</v>
      </c>
      <c r="C123" s="2">
        <v>0</v>
      </c>
      <c r="D123" s="18">
        <v>1</v>
      </c>
      <c r="E123" s="22">
        <v>48309</v>
      </c>
      <c r="F123" s="23" t="s">
        <v>43</v>
      </c>
      <c r="G123" s="22" t="s">
        <v>19</v>
      </c>
      <c r="H123" s="23">
        <v>979915</v>
      </c>
      <c r="I123" s="3">
        <v>0</v>
      </c>
      <c r="J123" s="2">
        <v>150000</v>
      </c>
      <c r="K123" s="2">
        <v>400000</v>
      </c>
      <c r="L123" s="2">
        <v>150000</v>
      </c>
      <c r="M123" s="2">
        <v>150000</v>
      </c>
      <c r="N123" s="2">
        <v>150000</v>
      </c>
      <c r="O123" s="2">
        <v>150000</v>
      </c>
      <c r="P123" s="2">
        <v>120000</v>
      </c>
      <c r="Q123" s="2">
        <v>120000</v>
      </c>
      <c r="R123" s="2">
        <v>0</v>
      </c>
      <c r="S123" s="2">
        <v>0</v>
      </c>
      <c r="T123" s="18">
        <v>0</v>
      </c>
      <c r="U123" s="22">
        <v>1390000</v>
      </c>
      <c r="V123" s="23">
        <v>0</v>
      </c>
    </row>
    <row r="124" spans="2:22" x14ac:dyDescent="0.25">
      <c r="B124" s="22">
        <v>0</v>
      </c>
      <c r="C124" s="2">
        <v>0</v>
      </c>
      <c r="D124" s="18">
        <v>1</v>
      </c>
      <c r="E124" s="22">
        <v>48309</v>
      </c>
      <c r="F124" s="23" t="s">
        <v>43</v>
      </c>
      <c r="G124" s="22" t="s">
        <v>20</v>
      </c>
      <c r="H124" s="23">
        <v>979915</v>
      </c>
      <c r="I124" s="3">
        <v>930240</v>
      </c>
      <c r="J124" s="2">
        <v>1067200</v>
      </c>
      <c r="K124" s="2">
        <v>1456900</v>
      </c>
      <c r="L124" s="2">
        <v>1593090</v>
      </c>
      <c r="M124" s="2">
        <v>1734390</v>
      </c>
      <c r="N124" s="2">
        <v>1878290</v>
      </c>
      <c r="O124" s="2">
        <v>2028190</v>
      </c>
      <c r="P124" s="2">
        <v>2141790</v>
      </c>
      <c r="Q124" s="2">
        <v>2256790</v>
      </c>
      <c r="R124" s="2">
        <v>2242295</v>
      </c>
      <c r="S124" s="2">
        <v>2241995</v>
      </c>
      <c r="T124" s="18">
        <v>2241995</v>
      </c>
      <c r="U124" s="22">
        <v>0</v>
      </c>
      <c r="V124" s="23">
        <v>2230195</v>
      </c>
    </row>
    <row r="125" spans="2:22" hidden="1" x14ac:dyDescent="0.25">
      <c r="B125" s="22">
        <v>2</v>
      </c>
      <c r="C125" s="2">
        <v>2</v>
      </c>
      <c r="D125" s="18">
        <v>0</v>
      </c>
      <c r="E125" s="22">
        <v>27589</v>
      </c>
      <c r="F125" s="23" t="s">
        <v>37</v>
      </c>
      <c r="G125" s="22" t="s">
        <v>19</v>
      </c>
      <c r="H125" s="23">
        <v>1232673</v>
      </c>
      <c r="I125" s="3">
        <v>400000</v>
      </c>
      <c r="J125" s="2">
        <v>1200000</v>
      </c>
      <c r="K125" s="2">
        <v>400000</v>
      </c>
      <c r="L125" s="2">
        <v>0</v>
      </c>
      <c r="M125" s="2">
        <v>800000</v>
      </c>
      <c r="N125" s="2">
        <v>0</v>
      </c>
      <c r="O125" s="2">
        <v>800000</v>
      </c>
      <c r="P125" s="2">
        <v>0</v>
      </c>
      <c r="Q125" s="2">
        <v>0</v>
      </c>
      <c r="R125" s="2">
        <v>0</v>
      </c>
      <c r="S125" s="2">
        <v>0</v>
      </c>
      <c r="T125" s="18">
        <v>0</v>
      </c>
      <c r="U125" s="22">
        <v>3600000</v>
      </c>
      <c r="V125" s="23">
        <v>0</v>
      </c>
    </row>
    <row r="126" spans="2:22" hidden="1" x14ac:dyDescent="0.25">
      <c r="B126" s="22">
        <v>2</v>
      </c>
      <c r="C126" s="2">
        <v>2</v>
      </c>
      <c r="D126" s="18">
        <v>0</v>
      </c>
      <c r="E126" s="22">
        <v>27589</v>
      </c>
      <c r="F126" s="23" t="s">
        <v>37</v>
      </c>
      <c r="G126" s="22" t="s">
        <v>20</v>
      </c>
      <c r="H126" s="23">
        <v>1232673</v>
      </c>
      <c r="I126" s="3">
        <v>-811687.00199999998</v>
      </c>
      <c r="J126" s="2">
        <v>-104594.00199999999</v>
      </c>
      <c r="K126" s="2">
        <v>-292160.00199999998</v>
      </c>
      <c r="L126" s="2">
        <v>-616700.00199999998</v>
      </c>
      <c r="M126" s="2">
        <v>38532.998</v>
      </c>
      <c r="N126" s="2">
        <v>-266722.00199999998</v>
      </c>
      <c r="O126" s="2">
        <v>407053.99800000002</v>
      </c>
      <c r="P126" s="2">
        <v>252200.99799999999</v>
      </c>
      <c r="Q126" s="2">
        <v>112067.99800000001</v>
      </c>
      <c r="R126" s="2">
        <v>-18281.002</v>
      </c>
      <c r="S126" s="2">
        <v>-75091.001999999993</v>
      </c>
      <c r="T126" s="18">
        <v>-123599.00199999999</v>
      </c>
      <c r="U126" s="22">
        <v>0</v>
      </c>
      <c r="V126" s="23">
        <v>-428679.00199999998</v>
      </c>
    </row>
    <row r="127" spans="2:22" hidden="1" x14ac:dyDescent="0.25">
      <c r="B127" s="22">
        <v>5</v>
      </c>
      <c r="C127" s="2">
        <v>5</v>
      </c>
      <c r="D127" s="18">
        <v>0</v>
      </c>
      <c r="E127" s="22">
        <v>22270</v>
      </c>
      <c r="F127" s="23" t="s">
        <v>36</v>
      </c>
      <c r="G127" s="22" t="s">
        <v>19</v>
      </c>
      <c r="H127" s="23">
        <v>1298350</v>
      </c>
      <c r="I127" s="3">
        <v>800000</v>
      </c>
      <c r="J127" s="2">
        <v>3612000</v>
      </c>
      <c r="K127" s="2">
        <v>0</v>
      </c>
      <c r="L127" s="2">
        <v>0</v>
      </c>
      <c r="M127" s="2">
        <v>0</v>
      </c>
      <c r="N127" s="2">
        <v>0</v>
      </c>
      <c r="O127" s="2">
        <v>488000</v>
      </c>
      <c r="P127" s="2">
        <v>0</v>
      </c>
      <c r="Q127" s="2">
        <v>0</v>
      </c>
      <c r="R127" s="2">
        <v>0</v>
      </c>
      <c r="S127" s="2">
        <v>0</v>
      </c>
      <c r="T127" s="18">
        <v>0</v>
      </c>
      <c r="U127" s="22">
        <v>4900000</v>
      </c>
      <c r="V127" s="23">
        <v>0</v>
      </c>
    </row>
    <row r="128" spans="2:22" hidden="1" x14ac:dyDescent="0.25">
      <c r="B128" s="22">
        <v>5</v>
      </c>
      <c r="C128" s="2">
        <v>5</v>
      </c>
      <c r="D128" s="18">
        <v>0</v>
      </c>
      <c r="E128" s="22">
        <v>22270</v>
      </c>
      <c r="F128" s="23" t="s">
        <v>36</v>
      </c>
      <c r="G128" s="22" t="s">
        <v>20</v>
      </c>
      <c r="H128" s="23">
        <v>1298350</v>
      </c>
      <c r="I128" s="3">
        <v>-3175942.0019999999</v>
      </c>
      <c r="J128" s="2">
        <v>-1601053.003</v>
      </c>
      <c r="K128" s="2">
        <v>-3810968.0040000002</v>
      </c>
      <c r="L128" s="2">
        <v>-5339705.0039999997</v>
      </c>
      <c r="M128" s="2">
        <v>-6936576.0039999997</v>
      </c>
      <c r="N128" s="2">
        <v>-8616637.0040000007</v>
      </c>
      <c r="O128" s="2">
        <v>-9711276.0040000007</v>
      </c>
      <c r="P128" s="2">
        <v>-11359747.004000001</v>
      </c>
      <c r="Q128" s="2">
        <v>-12922619.004000001</v>
      </c>
      <c r="R128" s="2">
        <v>-14391653.004000001</v>
      </c>
      <c r="S128" s="2">
        <v>-15594883.004000001</v>
      </c>
      <c r="T128" s="18">
        <v>-16364021.004000001</v>
      </c>
      <c r="U128" s="22">
        <v>0</v>
      </c>
      <c r="V128" s="23">
        <v>-17895424.004000001</v>
      </c>
    </row>
    <row r="129" spans="2:22" x14ac:dyDescent="0.25">
      <c r="B129" s="22">
        <v>0</v>
      </c>
      <c r="C129" s="2">
        <v>0</v>
      </c>
      <c r="D129" s="18">
        <v>1</v>
      </c>
      <c r="E129" s="22">
        <v>25312</v>
      </c>
      <c r="F129" s="23" t="s">
        <v>37</v>
      </c>
      <c r="G129" s="22" t="s">
        <v>19</v>
      </c>
      <c r="H129" s="23">
        <v>1460483</v>
      </c>
      <c r="I129" s="3">
        <v>0</v>
      </c>
      <c r="J129" s="2">
        <v>0</v>
      </c>
      <c r="K129" s="2">
        <v>0</v>
      </c>
      <c r="L129" s="2">
        <v>0</v>
      </c>
      <c r="M129" s="2">
        <v>0</v>
      </c>
      <c r="N129" s="2">
        <v>1200000</v>
      </c>
      <c r="O129" s="2">
        <v>800000</v>
      </c>
      <c r="P129" s="2">
        <v>0</v>
      </c>
      <c r="Q129" s="2">
        <v>1600000</v>
      </c>
      <c r="R129" s="2">
        <v>0</v>
      </c>
      <c r="S129" s="2">
        <v>0</v>
      </c>
      <c r="T129" s="18">
        <v>0</v>
      </c>
      <c r="U129" s="22">
        <v>3600000</v>
      </c>
      <c r="V129" s="23">
        <v>0</v>
      </c>
    </row>
    <row r="130" spans="2:22" x14ac:dyDescent="0.25">
      <c r="B130" s="22">
        <v>0</v>
      </c>
      <c r="C130" s="2">
        <v>0</v>
      </c>
      <c r="D130" s="18">
        <v>1</v>
      </c>
      <c r="E130" s="22">
        <v>25312</v>
      </c>
      <c r="F130" s="23" t="s">
        <v>37</v>
      </c>
      <c r="G130" s="22" t="s">
        <v>20</v>
      </c>
      <c r="H130" s="23">
        <v>1460483</v>
      </c>
      <c r="I130" s="3">
        <v>416307.99900000001</v>
      </c>
      <c r="J130" s="2">
        <v>-409786.00199999998</v>
      </c>
      <c r="K130" s="2">
        <v>-1118610.0020000001</v>
      </c>
      <c r="L130" s="2">
        <v>-1745250.0020000001</v>
      </c>
      <c r="M130" s="2">
        <v>-2427795.0019999999</v>
      </c>
      <c r="N130" s="2">
        <v>-1631688.0020000001</v>
      </c>
      <c r="O130" s="2">
        <v>-1436751.0020000001</v>
      </c>
      <c r="P130" s="2">
        <v>-1751630.0020000001</v>
      </c>
      <c r="Q130" s="2">
        <v>-494686.00199999998</v>
      </c>
      <c r="R130" s="2">
        <v>-822161.00199999998</v>
      </c>
      <c r="S130" s="2">
        <v>-1167445.0020000001</v>
      </c>
      <c r="T130" s="18">
        <v>-1503126.0020000001</v>
      </c>
      <c r="U130" s="22">
        <v>0</v>
      </c>
      <c r="V130" s="23">
        <v>-3693528.0019999999</v>
      </c>
    </row>
    <row r="131" spans="2:22" hidden="1" x14ac:dyDescent="0.25">
      <c r="B131" s="22">
        <v>3</v>
      </c>
      <c r="C131" s="2">
        <v>3</v>
      </c>
      <c r="D131" s="18">
        <v>0</v>
      </c>
      <c r="E131" s="22">
        <v>14067</v>
      </c>
      <c r="F131" s="23" t="s">
        <v>23</v>
      </c>
      <c r="G131" s="22" t="s">
        <v>19</v>
      </c>
      <c r="H131" s="23">
        <v>1477646</v>
      </c>
      <c r="I131" s="3">
        <v>100000</v>
      </c>
      <c r="J131" s="2">
        <v>400000</v>
      </c>
      <c r="K131" s="2">
        <v>400000</v>
      </c>
      <c r="L131" s="2">
        <v>300000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18">
        <v>500000</v>
      </c>
      <c r="U131" s="22">
        <v>1700000</v>
      </c>
      <c r="V131" s="23">
        <v>0</v>
      </c>
    </row>
    <row r="132" spans="2:22" hidden="1" x14ac:dyDescent="0.25">
      <c r="B132" s="22">
        <v>3</v>
      </c>
      <c r="C132" s="2">
        <v>3</v>
      </c>
      <c r="D132" s="18">
        <v>0</v>
      </c>
      <c r="E132" s="22">
        <v>14067</v>
      </c>
      <c r="F132" s="23" t="s">
        <v>23</v>
      </c>
      <c r="G132" s="22" t="s">
        <v>20</v>
      </c>
      <c r="H132" s="23">
        <v>1477646</v>
      </c>
      <c r="I132" s="3">
        <v>341099.99800000002</v>
      </c>
      <c r="J132" s="2">
        <v>358709.99800000002</v>
      </c>
      <c r="K132" s="2">
        <v>314032.99800000002</v>
      </c>
      <c r="L132" s="2">
        <v>322497.99800000002</v>
      </c>
      <c r="M132" s="2">
        <v>-27929.002</v>
      </c>
      <c r="N132" s="2">
        <v>-524127.00199999998</v>
      </c>
      <c r="O132" s="2">
        <v>-808772.00199999998</v>
      </c>
      <c r="P132" s="2">
        <v>-1125102.0020000001</v>
      </c>
      <c r="Q132" s="2">
        <v>-1433481.0020000001</v>
      </c>
      <c r="R132" s="2">
        <v>-1719865.0020000001</v>
      </c>
      <c r="S132" s="2">
        <v>-1966297.0020000001</v>
      </c>
      <c r="T132" s="18">
        <v>-1629203.0020000001</v>
      </c>
      <c r="U132" s="22">
        <v>0</v>
      </c>
      <c r="V132" s="23">
        <v>-2235183.0019999999</v>
      </c>
    </row>
    <row r="133" spans="2:22" x14ac:dyDescent="0.25">
      <c r="B133" s="22">
        <v>0</v>
      </c>
      <c r="C133" s="2">
        <v>0</v>
      </c>
      <c r="D133" s="18">
        <v>5</v>
      </c>
      <c r="E133" s="22">
        <v>56984</v>
      </c>
      <c r="F133" s="23" t="s">
        <v>36</v>
      </c>
      <c r="G133" s="22" t="s">
        <v>19</v>
      </c>
      <c r="H133" s="23">
        <v>1508826</v>
      </c>
      <c r="I133" s="3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18">
        <v>0</v>
      </c>
      <c r="U133" s="22">
        <v>0</v>
      </c>
      <c r="V133" s="23">
        <v>0</v>
      </c>
    </row>
    <row r="134" spans="2:22" x14ac:dyDescent="0.25">
      <c r="B134" s="22">
        <v>0</v>
      </c>
      <c r="C134" s="2">
        <v>0</v>
      </c>
      <c r="D134" s="18">
        <v>5</v>
      </c>
      <c r="E134" s="22">
        <v>56984</v>
      </c>
      <c r="F134" s="23" t="s">
        <v>36</v>
      </c>
      <c r="G134" s="22" t="s">
        <v>20</v>
      </c>
      <c r="H134" s="23">
        <v>1508826</v>
      </c>
      <c r="I134" s="3">
        <v>990240</v>
      </c>
      <c r="J134" s="2">
        <v>857617</v>
      </c>
      <c r="K134" s="2">
        <v>691540</v>
      </c>
      <c r="L134" s="2">
        <v>545868</v>
      </c>
      <c r="M134" s="2">
        <v>424318</v>
      </c>
      <c r="N134" s="2">
        <v>342538</v>
      </c>
      <c r="O134" s="2">
        <v>255754</v>
      </c>
      <c r="P134" s="2">
        <v>170014</v>
      </c>
      <c r="Q134" s="2">
        <v>104474</v>
      </c>
      <c r="R134" s="2">
        <v>41459</v>
      </c>
      <c r="S134" s="2">
        <v>21919</v>
      </c>
      <c r="T134" s="18">
        <v>21119</v>
      </c>
      <c r="U134" s="22">
        <v>0</v>
      </c>
      <c r="V134" s="23">
        <v>-38281</v>
      </c>
    </row>
    <row r="135" spans="2:22" x14ac:dyDescent="0.25">
      <c r="B135" s="22">
        <v>0</v>
      </c>
      <c r="C135" s="2">
        <v>0</v>
      </c>
      <c r="D135" s="18">
        <v>5</v>
      </c>
      <c r="E135" s="22">
        <v>37658</v>
      </c>
      <c r="F135" s="23" t="s">
        <v>39</v>
      </c>
      <c r="G135" s="22" t="s">
        <v>19</v>
      </c>
      <c r="H135" s="23">
        <v>1520299</v>
      </c>
      <c r="I135" s="3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20000</v>
      </c>
      <c r="P135" s="2">
        <v>20000</v>
      </c>
      <c r="Q135" s="2">
        <v>20000</v>
      </c>
      <c r="R135" s="2">
        <v>0</v>
      </c>
      <c r="S135" s="2">
        <v>0</v>
      </c>
      <c r="T135" s="18">
        <v>0</v>
      </c>
      <c r="U135" s="22">
        <v>60000</v>
      </c>
      <c r="V135" s="23">
        <v>0</v>
      </c>
    </row>
    <row r="136" spans="2:22" x14ac:dyDescent="0.25">
      <c r="B136" s="22">
        <v>0</v>
      </c>
      <c r="C136" s="2">
        <v>0</v>
      </c>
      <c r="D136" s="18">
        <v>5</v>
      </c>
      <c r="E136" s="22">
        <v>37658</v>
      </c>
      <c r="F136" s="23" t="s">
        <v>39</v>
      </c>
      <c r="G136" s="22" t="s">
        <v>20</v>
      </c>
      <c r="H136" s="23">
        <v>1520299</v>
      </c>
      <c r="I136" s="3">
        <v>1439990.9990000001</v>
      </c>
      <c r="J136" s="2">
        <v>1433932.9990000001</v>
      </c>
      <c r="K136" s="2">
        <v>1407258.9990000001</v>
      </c>
      <c r="L136" s="2">
        <v>1381958.9990000001</v>
      </c>
      <c r="M136" s="2">
        <v>1338218.9990000001</v>
      </c>
      <c r="N136" s="2">
        <v>1307758.9990000001</v>
      </c>
      <c r="O136" s="2">
        <v>1327678.9990000001</v>
      </c>
      <c r="P136" s="2">
        <v>1317678.9990000001</v>
      </c>
      <c r="Q136" s="2">
        <v>1312678.9990000001</v>
      </c>
      <c r="R136" s="2">
        <v>1290203.9990000001</v>
      </c>
      <c r="S136" s="2">
        <v>1290203.9990000001</v>
      </c>
      <c r="T136" s="18">
        <v>1290203.9990000001</v>
      </c>
      <c r="U136" s="22">
        <v>0</v>
      </c>
      <c r="V136" s="23">
        <v>1290203.9990000001</v>
      </c>
    </row>
    <row r="137" spans="2:22" hidden="1" x14ac:dyDescent="0.25">
      <c r="B137" s="22">
        <v>1</v>
      </c>
      <c r="C137" s="2">
        <v>2</v>
      </c>
      <c r="D137" s="18">
        <v>0</v>
      </c>
      <c r="E137" s="22">
        <v>14159</v>
      </c>
      <c r="F137" s="23" t="s">
        <v>25</v>
      </c>
      <c r="G137" s="22" t="s">
        <v>19</v>
      </c>
      <c r="H137" s="23">
        <v>2036107</v>
      </c>
      <c r="I137" s="3">
        <v>600000</v>
      </c>
      <c r="J137" s="2">
        <v>0</v>
      </c>
      <c r="K137" s="2">
        <v>700000</v>
      </c>
      <c r="L137" s="2">
        <v>0</v>
      </c>
      <c r="M137" s="2">
        <v>200000</v>
      </c>
      <c r="N137" s="2">
        <v>10000</v>
      </c>
      <c r="O137" s="2">
        <v>70000</v>
      </c>
      <c r="P137" s="2">
        <v>0</v>
      </c>
      <c r="Q137" s="2">
        <v>0</v>
      </c>
      <c r="R137" s="2">
        <v>0</v>
      </c>
      <c r="S137" s="2">
        <v>0</v>
      </c>
      <c r="T137" s="18">
        <v>0</v>
      </c>
      <c r="U137" s="22">
        <v>1580000</v>
      </c>
      <c r="V137" s="23">
        <v>0</v>
      </c>
    </row>
    <row r="138" spans="2:22" hidden="1" x14ac:dyDescent="0.25">
      <c r="B138" s="22">
        <v>1</v>
      </c>
      <c r="C138" s="2">
        <v>2</v>
      </c>
      <c r="D138" s="18">
        <v>0</v>
      </c>
      <c r="E138" s="22">
        <v>14159</v>
      </c>
      <c r="F138" s="23" t="s">
        <v>25</v>
      </c>
      <c r="G138" s="22" t="s">
        <v>20</v>
      </c>
      <c r="H138" s="23">
        <v>2036107</v>
      </c>
      <c r="I138" s="3">
        <v>1421787.9979999999</v>
      </c>
      <c r="J138" s="2">
        <v>685489.99800000002</v>
      </c>
      <c r="K138" s="2">
        <v>584442.99800000002</v>
      </c>
      <c r="L138" s="2">
        <v>82548.998000000007</v>
      </c>
      <c r="M138" s="2">
        <v>-325672.00199999998</v>
      </c>
      <c r="N138" s="2">
        <v>-942988.00199999998</v>
      </c>
      <c r="O138" s="2">
        <v>-1434448.0020000001</v>
      </c>
      <c r="P138" s="2">
        <v>-1976362.0020000001</v>
      </c>
      <c r="Q138" s="2">
        <v>-2504852.0019999999</v>
      </c>
      <c r="R138" s="2">
        <v>-3090614.0019999999</v>
      </c>
      <c r="S138" s="2">
        <v>-3506712.0019999999</v>
      </c>
      <c r="T138" s="18">
        <v>-3758635.0019999999</v>
      </c>
      <c r="U138" s="22">
        <v>0</v>
      </c>
      <c r="V138" s="23">
        <v>-4238311.0020000003</v>
      </c>
    </row>
    <row r="139" spans="2:22" hidden="1" x14ac:dyDescent="0.25">
      <c r="B139" s="22">
        <v>1</v>
      </c>
      <c r="C139" s="2">
        <v>1</v>
      </c>
      <c r="D139" s="18">
        <v>0</v>
      </c>
      <c r="E139" s="22">
        <v>14053</v>
      </c>
      <c r="F139" s="23" t="s">
        <v>22</v>
      </c>
      <c r="G139" s="22" t="s">
        <v>19</v>
      </c>
      <c r="H139" s="23">
        <v>2087809</v>
      </c>
      <c r="I139" s="3">
        <v>600000</v>
      </c>
      <c r="J139" s="2">
        <v>200000</v>
      </c>
      <c r="K139" s="2">
        <v>600000</v>
      </c>
      <c r="L139" s="2">
        <v>405000</v>
      </c>
      <c r="M139" s="2">
        <v>5000</v>
      </c>
      <c r="N139" s="2">
        <v>310000</v>
      </c>
      <c r="O139" s="2">
        <v>300000</v>
      </c>
      <c r="P139" s="2">
        <v>0</v>
      </c>
      <c r="Q139" s="2">
        <v>0</v>
      </c>
      <c r="R139" s="2">
        <v>0</v>
      </c>
      <c r="S139" s="2">
        <v>0</v>
      </c>
      <c r="T139" s="18">
        <v>0</v>
      </c>
      <c r="U139" s="22">
        <v>2420000</v>
      </c>
      <c r="V139" s="23">
        <v>0</v>
      </c>
    </row>
    <row r="140" spans="2:22" hidden="1" x14ac:dyDescent="0.25">
      <c r="B140" s="22">
        <v>1</v>
      </c>
      <c r="C140" s="2">
        <v>1</v>
      </c>
      <c r="D140" s="18">
        <v>0</v>
      </c>
      <c r="E140" s="22">
        <v>14053</v>
      </c>
      <c r="F140" s="23" t="s">
        <v>22</v>
      </c>
      <c r="G140" s="22" t="s">
        <v>20</v>
      </c>
      <c r="H140" s="23">
        <v>2087809</v>
      </c>
      <c r="I140" s="3">
        <v>711520.00100000005</v>
      </c>
      <c r="J140" s="2">
        <v>331919.00199999998</v>
      </c>
      <c r="K140" s="2">
        <v>286210.00199999998</v>
      </c>
      <c r="L140" s="2">
        <v>288418.00199999998</v>
      </c>
      <c r="M140" s="2">
        <v>-144536.99799999999</v>
      </c>
      <c r="N140" s="2">
        <v>-365380.99800000002</v>
      </c>
      <c r="O140" s="2">
        <v>-412221.99800000002</v>
      </c>
      <c r="P140" s="2">
        <v>-698861.99800000002</v>
      </c>
      <c r="Q140" s="2">
        <v>-1051506.9979999999</v>
      </c>
      <c r="R140" s="2">
        <v>-1339562.9979999999</v>
      </c>
      <c r="S140" s="2">
        <v>-1557414.9979999999</v>
      </c>
      <c r="T140" s="18">
        <v>-1756147.9979999999</v>
      </c>
      <c r="U140" s="22">
        <v>0</v>
      </c>
      <c r="V140" s="23">
        <v>-2739936.9980000001</v>
      </c>
    </row>
    <row r="141" spans="2:22" x14ac:dyDescent="0.25">
      <c r="B141" s="22">
        <v>0</v>
      </c>
      <c r="C141" s="2">
        <v>0</v>
      </c>
      <c r="D141" s="18">
        <v>2</v>
      </c>
      <c r="E141" s="22">
        <v>15195</v>
      </c>
      <c r="F141" s="23" t="s">
        <v>29</v>
      </c>
      <c r="G141" s="22" t="s">
        <v>19</v>
      </c>
      <c r="H141" s="23">
        <v>2621302</v>
      </c>
      <c r="I141" s="3">
        <v>0</v>
      </c>
      <c r="J141" s="2">
        <v>600000</v>
      </c>
      <c r="K141" s="2">
        <v>1300000</v>
      </c>
      <c r="L141" s="2">
        <v>0</v>
      </c>
      <c r="M141" s="2">
        <v>400000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18">
        <v>100000</v>
      </c>
      <c r="U141" s="22">
        <v>2400000</v>
      </c>
      <c r="V141" s="23">
        <v>0</v>
      </c>
    </row>
    <row r="142" spans="2:22" x14ac:dyDescent="0.25">
      <c r="B142" s="22">
        <v>0</v>
      </c>
      <c r="C142" s="2">
        <v>0</v>
      </c>
      <c r="D142" s="18">
        <v>2</v>
      </c>
      <c r="E142" s="22">
        <v>15195</v>
      </c>
      <c r="F142" s="23" t="s">
        <v>29</v>
      </c>
      <c r="G142" s="22" t="s">
        <v>20</v>
      </c>
      <c r="H142" s="23">
        <v>2621302</v>
      </c>
      <c r="I142" s="3">
        <v>1360788</v>
      </c>
      <c r="J142" s="2">
        <v>1317244.9990000001</v>
      </c>
      <c r="K142" s="2">
        <v>1833504.9990000001</v>
      </c>
      <c r="L142" s="2">
        <v>1288791.9990000001</v>
      </c>
      <c r="M142" s="2">
        <v>1202963.9990000001</v>
      </c>
      <c r="N142" s="2">
        <v>947873.99899999995</v>
      </c>
      <c r="O142" s="2">
        <v>497193.99900000001</v>
      </c>
      <c r="P142" s="2">
        <v>294477.99900000001</v>
      </c>
      <c r="Q142" s="2">
        <v>18823.999</v>
      </c>
      <c r="R142" s="2">
        <v>-197476.00099999999</v>
      </c>
      <c r="S142" s="2">
        <v>-444266.00099999999</v>
      </c>
      <c r="T142" s="18">
        <v>-482898.00099999999</v>
      </c>
      <c r="U142" s="22">
        <v>0</v>
      </c>
      <c r="V142" s="23">
        <v>-1507208.0009999999</v>
      </c>
    </row>
    <row r="143" spans="2:22" hidden="1" x14ac:dyDescent="0.25">
      <c r="B143" s="22">
        <v>1</v>
      </c>
      <c r="C143" s="2">
        <v>1</v>
      </c>
      <c r="D143" s="18">
        <v>0</v>
      </c>
      <c r="E143" s="22">
        <v>15192</v>
      </c>
      <c r="F143" s="23" t="s">
        <v>27</v>
      </c>
      <c r="G143" s="22" t="s">
        <v>19</v>
      </c>
      <c r="H143" s="23">
        <v>3071930</v>
      </c>
      <c r="I143" s="3">
        <v>0</v>
      </c>
      <c r="J143" s="2">
        <v>0</v>
      </c>
      <c r="K143" s="2">
        <v>0</v>
      </c>
      <c r="L143" s="2">
        <v>200000</v>
      </c>
      <c r="M143" s="2">
        <v>400000</v>
      </c>
      <c r="N143" s="2">
        <v>100000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18">
        <v>0</v>
      </c>
      <c r="U143" s="22">
        <v>700000</v>
      </c>
      <c r="V143" s="23">
        <v>0</v>
      </c>
    </row>
    <row r="144" spans="2:22" hidden="1" x14ac:dyDescent="0.25">
      <c r="B144" s="22">
        <v>1</v>
      </c>
      <c r="C144" s="2">
        <v>1</v>
      </c>
      <c r="D144" s="18">
        <v>0</v>
      </c>
      <c r="E144" s="22">
        <v>15192</v>
      </c>
      <c r="F144" s="23" t="s">
        <v>27</v>
      </c>
      <c r="G144" s="22" t="s">
        <v>20</v>
      </c>
      <c r="H144" s="23">
        <v>3071930</v>
      </c>
      <c r="I144" s="3">
        <v>2123269.9989999998</v>
      </c>
      <c r="J144" s="2">
        <v>1940170.9990000001</v>
      </c>
      <c r="K144" s="2">
        <v>1773405.9979999999</v>
      </c>
      <c r="L144" s="2">
        <v>1846473.9979999999</v>
      </c>
      <c r="M144" s="2">
        <v>2190012.9980000001</v>
      </c>
      <c r="N144" s="2">
        <v>2222966.9980000001</v>
      </c>
      <c r="O144" s="2">
        <v>2120731.9980000001</v>
      </c>
      <c r="P144" s="2">
        <v>2049895.9979999999</v>
      </c>
      <c r="Q144" s="2">
        <v>2007659.9979999999</v>
      </c>
      <c r="R144" s="2">
        <v>1905641.9979999999</v>
      </c>
      <c r="S144" s="2">
        <v>1880698.9979999999</v>
      </c>
      <c r="T144" s="18">
        <v>1867260.9979999999</v>
      </c>
      <c r="U144" s="22">
        <v>0</v>
      </c>
      <c r="V144" s="23">
        <v>1820700.9979999999</v>
      </c>
    </row>
    <row r="145" spans="2:22" x14ac:dyDescent="0.25">
      <c r="B145" s="22">
        <v>0</v>
      </c>
      <c r="C145" s="2">
        <v>0</v>
      </c>
      <c r="D145" s="18">
        <v>2</v>
      </c>
      <c r="E145" s="22">
        <v>15193</v>
      </c>
      <c r="F145" s="23" t="s">
        <v>28</v>
      </c>
      <c r="G145" s="22" t="s">
        <v>19</v>
      </c>
      <c r="H145" s="23">
        <v>5254816</v>
      </c>
      <c r="I145" s="3">
        <v>0</v>
      </c>
      <c r="J145" s="2">
        <v>1050000</v>
      </c>
      <c r="K145" s="2">
        <v>1800000</v>
      </c>
      <c r="L145" s="2">
        <v>400000</v>
      </c>
      <c r="M145" s="2">
        <v>2050000</v>
      </c>
      <c r="N145" s="2">
        <v>750000</v>
      </c>
      <c r="O145" s="2">
        <v>0</v>
      </c>
      <c r="P145" s="2">
        <v>0</v>
      </c>
      <c r="Q145" s="2">
        <v>0</v>
      </c>
      <c r="R145" s="2">
        <v>200000</v>
      </c>
      <c r="S145" s="2">
        <v>0</v>
      </c>
      <c r="T145" s="18">
        <v>0</v>
      </c>
      <c r="U145" s="22">
        <v>6250000</v>
      </c>
      <c r="V145" s="23">
        <v>0</v>
      </c>
    </row>
    <row r="146" spans="2:22" ht="15.75" thickBot="1" x14ac:dyDescent="0.3">
      <c r="B146" s="26">
        <v>0</v>
      </c>
      <c r="C146" s="32">
        <v>0</v>
      </c>
      <c r="D146" s="33">
        <v>2</v>
      </c>
      <c r="E146" s="26">
        <v>15193</v>
      </c>
      <c r="F146" s="27" t="s">
        <v>28</v>
      </c>
      <c r="G146" s="26" t="s">
        <v>20</v>
      </c>
      <c r="H146" s="27">
        <v>5254816</v>
      </c>
      <c r="I146" s="34">
        <v>1749578</v>
      </c>
      <c r="J146" s="32">
        <v>1782458.9990000001</v>
      </c>
      <c r="K146" s="32">
        <v>2183663.9989999998</v>
      </c>
      <c r="L146" s="32">
        <v>1707339.9990000001</v>
      </c>
      <c r="M146" s="32">
        <v>3046679.9989999998</v>
      </c>
      <c r="N146" s="32">
        <v>3281939.9989999998</v>
      </c>
      <c r="O146" s="32">
        <v>2356472.9989999998</v>
      </c>
      <c r="P146" s="32">
        <v>1786162.9990000001</v>
      </c>
      <c r="Q146" s="32">
        <v>1175346.9990000001</v>
      </c>
      <c r="R146" s="32">
        <v>781121.99899999995</v>
      </c>
      <c r="S146" s="32">
        <v>423614.99900000001</v>
      </c>
      <c r="T146" s="33">
        <v>184353.99900000001</v>
      </c>
      <c r="U146" s="26">
        <v>0</v>
      </c>
      <c r="V146" s="27">
        <v>-902870.00100000005</v>
      </c>
    </row>
    <row r="147" spans="2:22" s="35" customFormat="1" x14ac:dyDescent="0.25"/>
    <row r="148" spans="2:22" s="35" customFormat="1" x14ac:dyDescent="0.25"/>
    <row r="149" spans="2:22" s="35" customFormat="1" x14ac:dyDescent="0.25"/>
    <row r="150" spans="2:22" s="35" customFormat="1" x14ac:dyDescent="0.25"/>
    <row r="151" spans="2:22" s="35" customFormat="1" x14ac:dyDescent="0.25"/>
    <row r="152" spans="2:22" s="35" customFormat="1" x14ac:dyDescent="0.25"/>
    <row r="153" spans="2:22" s="35" customFormat="1" x14ac:dyDescent="0.25"/>
    <row r="154" spans="2:22" s="35" customFormat="1" x14ac:dyDescent="0.25"/>
    <row r="155" spans="2:22" s="35" customFormat="1" x14ac:dyDescent="0.25"/>
    <row r="156" spans="2:22" s="35" customFormat="1" x14ac:dyDescent="0.25"/>
    <row r="157" spans="2:22" s="35" customFormat="1" x14ac:dyDescent="0.25"/>
    <row r="158" spans="2:22" s="35" customFormat="1" x14ac:dyDescent="0.25"/>
    <row r="159" spans="2:22" s="35" customFormat="1" x14ac:dyDescent="0.25"/>
    <row r="160" spans="2:22" s="35" customFormat="1" x14ac:dyDescent="0.25"/>
    <row r="161" s="35" customFormat="1" x14ac:dyDescent="0.25"/>
    <row r="162" s="35" customFormat="1" x14ac:dyDescent="0.25"/>
    <row r="163" s="35" customFormat="1" x14ac:dyDescent="0.25"/>
    <row r="164" s="35" customFormat="1" x14ac:dyDescent="0.25"/>
    <row r="165" s="35" customFormat="1" x14ac:dyDescent="0.25"/>
    <row r="166" s="35" customFormat="1" x14ac:dyDescent="0.25"/>
    <row r="167" s="35" customFormat="1" x14ac:dyDescent="0.25"/>
    <row r="168" s="35" customFormat="1" x14ac:dyDescent="0.25"/>
    <row r="169" s="35" customFormat="1" x14ac:dyDescent="0.25"/>
    <row r="170" s="35" customFormat="1" x14ac:dyDescent="0.25"/>
    <row r="171" s="35" customFormat="1" x14ac:dyDescent="0.25"/>
    <row r="172" s="35" customFormat="1" x14ac:dyDescent="0.25"/>
    <row r="173" s="35" customFormat="1" x14ac:dyDescent="0.25"/>
    <row r="174" s="35" customFormat="1" x14ac:dyDescent="0.25"/>
    <row r="175" s="35" customFormat="1" x14ac:dyDescent="0.25"/>
    <row r="176" s="35" customFormat="1" x14ac:dyDescent="0.25"/>
    <row r="177" s="35" customFormat="1" x14ac:dyDescent="0.25"/>
    <row r="178" s="35" customFormat="1" x14ac:dyDescent="0.25"/>
    <row r="179" s="35" customFormat="1" x14ac:dyDescent="0.25"/>
    <row r="180" s="35" customFormat="1" x14ac:dyDescent="0.25"/>
    <row r="181" s="35" customFormat="1" x14ac:dyDescent="0.25"/>
    <row r="182" s="35" customFormat="1" x14ac:dyDescent="0.25"/>
    <row r="183" s="35" customFormat="1" x14ac:dyDescent="0.25"/>
    <row r="184" s="35" customFormat="1" x14ac:dyDescent="0.25"/>
    <row r="185" s="35" customFormat="1" x14ac:dyDescent="0.25"/>
    <row r="186" s="35" customFormat="1" x14ac:dyDescent="0.25"/>
    <row r="187" s="35" customFormat="1" x14ac:dyDescent="0.25"/>
    <row r="188" s="35" customFormat="1" x14ac:dyDescent="0.25"/>
    <row r="189" s="35" customFormat="1" x14ac:dyDescent="0.25"/>
    <row r="190" s="35" customFormat="1" x14ac:dyDescent="0.25"/>
    <row r="191" s="35" customFormat="1" x14ac:dyDescent="0.25"/>
    <row r="192" s="35" customFormat="1" x14ac:dyDescent="0.25"/>
    <row r="193" s="35" customFormat="1" x14ac:dyDescent="0.25"/>
    <row r="194" s="35" customFormat="1" x14ac:dyDescent="0.25"/>
    <row r="195" s="35" customFormat="1" x14ac:dyDescent="0.25"/>
    <row r="196" s="35" customFormat="1" x14ac:dyDescent="0.25"/>
    <row r="197" s="35" customFormat="1" x14ac:dyDescent="0.25"/>
    <row r="198" s="35" customFormat="1" x14ac:dyDescent="0.25"/>
    <row r="199" s="35" customFormat="1" x14ac:dyDescent="0.25"/>
    <row r="200" s="35" customFormat="1" x14ac:dyDescent="0.25"/>
    <row r="201" s="35" customFormat="1" x14ac:dyDescent="0.25"/>
    <row r="202" s="35" customFormat="1" x14ac:dyDescent="0.25"/>
    <row r="203" s="35" customFormat="1" x14ac:dyDescent="0.25"/>
    <row r="204" s="35" customFormat="1" x14ac:dyDescent="0.25"/>
    <row r="205" s="35" customFormat="1" x14ac:dyDescent="0.25"/>
    <row r="206" s="35" customFormat="1" x14ac:dyDescent="0.25"/>
    <row r="207" s="35" customFormat="1" x14ac:dyDescent="0.25"/>
    <row r="208" s="35" customFormat="1" x14ac:dyDescent="0.25"/>
    <row r="209" s="35" customFormat="1" x14ac:dyDescent="0.25"/>
    <row r="210" s="35" customFormat="1" x14ac:dyDescent="0.25"/>
    <row r="211" s="35" customFormat="1" x14ac:dyDescent="0.25"/>
    <row r="212" s="35" customFormat="1" x14ac:dyDescent="0.25"/>
    <row r="213" s="35" customFormat="1" x14ac:dyDescent="0.25"/>
    <row r="214" s="35" customFormat="1" x14ac:dyDescent="0.25"/>
    <row r="215" s="35" customFormat="1" x14ac:dyDescent="0.25"/>
    <row r="216" s="35" customFormat="1" x14ac:dyDescent="0.25"/>
    <row r="217" s="35" customFormat="1" x14ac:dyDescent="0.25"/>
    <row r="218" s="35" customFormat="1" x14ac:dyDescent="0.25"/>
    <row r="219" s="35" customFormat="1" x14ac:dyDescent="0.25"/>
    <row r="220" s="35" customFormat="1" x14ac:dyDescent="0.25"/>
    <row r="221" s="35" customFormat="1" x14ac:dyDescent="0.25"/>
    <row r="222" s="35" customFormat="1" x14ac:dyDescent="0.25"/>
    <row r="223" s="35" customFormat="1" x14ac:dyDescent="0.25"/>
    <row r="224" s="35" customFormat="1" x14ac:dyDescent="0.25"/>
    <row r="225" s="35" customFormat="1" x14ac:dyDescent="0.25"/>
    <row r="226" s="35" customFormat="1" x14ac:dyDescent="0.25"/>
    <row r="227" s="35" customFormat="1" x14ac:dyDescent="0.25"/>
    <row r="228" s="35" customFormat="1" x14ac:dyDescent="0.25"/>
    <row r="229" s="35" customFormat="1" x14ac:dyDescent="0.25"/>
    <row r="230" s="35" customFormat="1" x14ac:dyDescent="0.25"/>
    <row r="231" s="35" customFormat="1" x14ac:dyDescent="0.25"/>
    <row r="232" s="35" customFormat="1" x14ac:dyDescent="0.25"/>
    <row r="233" s="35" customFormat="1" x14ac:dyDescent="0.25"/>
    <row r="234" s="35" customFormat="1" x14ac:dyDescent="0.25"/>
    <row r="235" s="35" customFormat="1" x14ac:dyDescent="0.25"/>
    <row r="236" s="35" customFormat="1" x14ac:dyDescent="0.25"/>
    <row r="237" s="35" customFormat="1" x14ac:dyDescent="0.25"/>
    <row r="238" s="35" customFormat="1" x14ac:dyDescent="0.25"/>
    <row r="239" s="35" customFormat="1" x14ac:dyDescent="0.25"/>
    <row r="240" s="35" customFormat="1" x14ac:dyDescent="0.25"/>
    <row r="241" s="35" customFormat="1" x14ac:dyDescent="0.25"/>
    <row r="242" s="35" customFormat="1" x14ac:dyDescent="0.25"/>
    <row r="243" s="35" customFormat="1" x14ac:dyDescent="0.25"/>
    <row r="244" s="35" customFormat="1" x14ac:dyDescent="0.25"/>
    <row r="245" s="35" customFormat="1" x14ac:dyDescent="0.25"/>
    <row r="246" s="35" customFormat="1" x14ac:dyDescent="0.25"/>
    <row r="247" s="35" customFormat="1" x14ac:dyDescent="0.25"/>
    <row r="248" s="35" customFormat="1" x14ac:dyDescent="0.25"/>
    <row r="249" s="35" customFormat="1" x14ac:dyDescent="0.25"/>
    <row r="250" s="35" customFormat="1" x14ac:dyDescent="0.25"/>
    <row r="251" s="35" customFormat="1" x14ac:dyDescent="0.25"/>
    <row r="252" s="35" customFormat="1" x14ac:dyDescent="0.25"/>
    <row r="253" s="35" customFormat="1" x14ac:dyDescent="0.25"/>
    <row r="254" s="35" customFormat="1" x14ac:dyDescent="0.25"/>
    <row r="255" s="35" customFormat="1" x14ac:dyDescent="0.25"/>
    <row r="256" s="35" customFormat="1" x14ac:dyDescent="0.25"/>
    <row r="257" s="35" customFormat="1" x14ac:dyDescent="0.25"/>
    <row r="258" s="35" customFormat="1" x14ac:dyDescent="0.25"/>
    <row r="259" s="35" customFormat="1" x14ac:dyDescent="0.25"/>
    <row r="260" s="35" customFormat="1" x14ac:dyDescent="0.25"/>
    <row r="261" s="35" customFormat="1" x14ac:dyDescent="0.25"/>
    <row r="262" s="35" customFormat="1" x14ac:dyDescent="0.25"/>
    <row r="263" s="35" customFormat="1" x14ac:dyDescent="0.25"/>
    <row r="264" s="35" customFormat="1" x14ac:dyDescent="0.25"/>
    <row r="265" s="35" customFormat="1" x14ac:dyDescent="0.25"/>
    <row r="266" s="35" customFormat="1" x14ac:dyDescent="0.25"/>
    <row r="267" s="35" customFormat="1" x14ac:dyDescent="0.25"/>
    <row r="268" s="35" customFormat="1" x14ac:dyDescent="0.25"/>
    <row r="269" s="35" customFormat="1" x14ac:dyDescent="0.25"/>
    <row r="270" s="35" customFormat="1" x14ac:dyDescent="0.25"/>
    <row r="271" s="35" customFormat="1" x14ac:dyDescent="0.25"/>
    <row r="272" s="35" customFormat="1" x14ac:dyDescent="0.25"/>
    <row r="273" s="35" customFormat="1" x14ac:dyDescent="0.25"/>
    <row r="274" s="35" customFormat="1" x14ac:dyDescent="0.25"/>
    <row r="275" s="35" customFormat="1" x14ac:dyDescent="0.25"/>
    <row r="276" s="35" customFormat="1" x14ac:dyDescent="0.25"/>
    <row r="277" s="35" customFormat="1" x14ac:dyDescent="0.25"/>
    <row r="278" s="35" customFormat="1" x14ac:dyDescent="0.25"/>
    <row r="279" s="35" customFormat="1" x14ac:dyDescent="0.25"/>
    <row r="280" s="35" customFormat="1" x14ac:dyDescent="0.25"/>
    <row r="281" s="35" customFormat="1" x14ac:dyDescent="0.25"/>
    <row r="282" s="35" customFormat="1" x14ac:dyDescent="0.25"/>
    <row r="283" s="35" customFormat="1" x14ac:dyDescent="0.25"/>
    <row r="284" s="35" customFormat="1" x14ac:dyDescent="0.25"/>
    <row r="285" s="35" customFormat="1" x14ac:dyDescent="0.25"/>
    <row r="286" s="35" customFormat="1" x14ac:dyDescent="0.25"/>
    <row r="287" s="35" customFormat="1" x14ac:dyDescent="0.25"/>
    <row r="288" s="35" customFormat="1" x14ac:dyDescent="0.25"/>
    <row r="289" s="35" customFormat="1" x14ac:dyDescent="0.25"/>
    <row r="290" s="35" customFormat="1" x14ac:dyDescent="0.25"/>
    <row r="291" s="35" customFormat="1" x14ac:dyDescent="0.25"/>
    <row r="292" s="35" customFormat="1" x14ac:dyDescent="0.25"/>
    <row r="293" s="35" customFormat="1" x14ac:dyDescent="0.25"/>
    <row r="294" s="35" customFormat="1" x14ac:dyDescent="0.25"/>
    <row r="295" s="35" customFormat="1" x14ac:dyDescent="0.25"/>
    <row r="296" s="35" customFormat="1" x14ac:dyDescent="0.25"/>
    <row r="297" s="35" customFormat="1" x14ac:dyDescent="0.25"/>
    <row r="298" s="35" customFormat="1" x14ac:dyDescent="0.25"/>
    <row r="299" s="35" customFormat="1" x14ac:dyDescent="0.25"/>
    <row r="300" s="35" customFormat="1" x14ac:dyDescent="0.25"/>
    <row r="301" s="35" customFormat="1" x14ac:dyDescent="0.25"/>
    <row r="302" s="35" customFormat="1" x14ac:dyDescent="0.25"/>
    <row r="303" s="35" customFormat="1" x14ac:dyDescent="0.25"/>
    <row r="304" s="35" customFormat="1" x14ac:dyDescent="0.25"/>
    <row r="305" s="35" customFormat="1" x14ac:dyDescent="0.25"/>
    <row r="306" s="35" customFormat="1" x14ac:dyDescent="0.25"/>
    <row r="307" s="35" customFormat="1" x14ac:dyDescent="0.25"/>
    <row r="308" s="35" customFormat="1" x14ac:dyDescent="0.25"/>
    <row r="309" s="35" customFormat="1" x14ac:dyDescent="0.25"/>
    <row r="310" s="35" customFormat="1" x14ac:dyDescent="0.25"/>
    <row r="311" s="35" customFormat="1" x14ac:dyDescent="0.25"/>
    <row r="312" s="35" customFormat="1" x14ac:dyDescent="0.25"/>
    <row r="313" s="35" customFormat="1" x14ac:dyDescent="0.25"/>
    <row r="314" s="35" customFormat="1" x14ac:dyDescent="0.25"/>
    <row r="315" s="35" customFormat="1" x14ac:dyDescent="0.25"/>
    <row r="316" s="35" customFormat="1" x14ac:dyDescent="0.25"/>
    <row r="317" s="35" customFormat="1" x14ac:dyDescent="0.25"/>
    <row r="318" s="35" customFormat="1" x14ac:dyDescent="0.25"/>
    <row r="319" s="35" customFormat="1" x14ac:dyDescent="0.25"/>
    <row r="320" s="35" customFormat="1" x14ac:dyDescent="0.25"/>
    <row r="321" s="35" customFormat="1" x14ac:dyDescent="0.25"/>
    <row r="322" s="35" customFormat="1" x14ac:dyDescent="0.25"/>
    <row r="323" s="35" customFormat="1" x14ac:dyDescent="0.25"/>
    <row r="324" s="35" customFormat="1" x14ac:dyDescent="0.25"/>
    <row r="325" s="35" customFormat="1" x14ac:dyDescent="0.25"/>
    <row r="326" s="35" customFormat="1" x14ac:dyDescent="0.25"/>
    <row r="327" s="35" customFormat="1" x14ac:dyDescent="0.25"/>
    <row r="328" s="35" customFormat="1" x14ac:dyDescent="0.25"/>
    <row r="329" s="35" customFormat="1" x14ac:dyDescent="0.25"/>
    <row r="330" s="35" customFormat="1" x14ac:dyDescent="0.25"/>
    <row r="331" s="35" customFormat="1" x14ac:dyDescent="0.25"/>
    <row r="332" s="35" customFormat="1" x14ac:dyDescent="0.25"/>
    <row r="333" s="35" customFormat="1" x14ac:dyDescent="0.25"/>
    <row r="334" s="35" customFormat="1" x14ac:dyDescent="0.25"/>
    <row r="335" s="35" customFormat="1" x14ac:dyDescent="0.25"/>
    <row r="336" s="35" customFormat="1" x14ac:dyDescent="0.25"/>
    <row r="337" s="35" customFormat="1" x14ac:dyDescent="0.25"/>
    <row r="338" s="35" customFormat="1" x14ac:dyDescent="0.25"/>
    <row r="339" s="35" customFormat="1" x14ac:dyDescent="0.25"/>
    <row r="340" s="35" customFormat="1" x14ac:dyDescent="0.25"/>
    <row r="341" s="35" customFormat="1" x14ac:dyDescent="0.25"/>
    <row r="342" s="35" customFormat="1" x14ac:dyDescent="0.25"/>
    <row r="343" s="35" customFormat="1" x14ac:dyDescent="0.25"/>
    <row r="344" s="35" customFormat="1" x14ac:dyDescent="0.25"/>
    <row r="345" s="35" customFormat="1" x14ac:dyDescent="0.25"/>
    <row r="346" s="35" customFormat="1" x14ac:dyDescent="0.25"/>
    <row r="347" s="35" customFormat="1" x14ac:dyDescent="0.25"/>
    <row r="348" s="35" customFormat="1" x14ac:dyDescent="0.25"/>
    <row r="349" s="35" customFormat="1" x14ac:dyDescent="0.25"/>
    <row r="350" s="35" customFormat="1" x14ac:dyDescent="0.25"/>
    <row r="351" s="35" customFormat="1" x14ac:dyDescent="0.25"/>
    <row r="352" s="35" customFormat="1" x14ac:dyDescent="0.25"/>
    <row r="353" s="35" customFormat="1" x14ac:dyDescent="0.25"/>
    <row r="354" s="35" customFormat="1" x14ac:dyDescent="0.25"/>
    <row r="355" s="35" customFormat="1" x14ac:dyDescent="0.25"/>
    <row r="356" s="35" customFormat="1" x14ac:dyDescent="0.25"/>
    <row r="357" s="35" customFormat="1" x14ac:dyDescent="0.25"/>
    <row r="358" s="35" customFormat="1" x14ac:dyDescent="0.25"/>
    <row r="359" s="35" customFormat="1" x14ac:dyDescent="0.25"/>
    <row r="360" s="35" customFormat="1" x14ac:dyDescent="0.25"/>
    <row r="361" s="35" customFormat="1" x14ac:dyDescent="0.25"/>
    <row r="362" s="35" customFormat="1" x14ac:dyDescent="0.25"/>
    <row r="363" s="35" customFormat="1" x14ac:dyDescent="0.25"/>
    <row r="364" s="35" customFormat="1" x14ac:dyDescent="0.25"/>
    <row r="365" s="35" customFormat="1" x14ac:dyDescent="0.25"/>
    <row r="366" s="35" customFormat="1" x14ac:dyDescent="0.25"/>
    <row r="367" s="35" customFormat="1" x14ac:dyDescent="0.25"/>
    <row r="368" s="35" customFormat="1" x14ac:dyDescent="0.25"/>
    <row r="369" s="35" customFormat="1" x14ac:dyDescent="0.25"/>
    <row r="370" s="35" customFormat="1" x14ac:dyDescent="0.25"/>
    <row r="371" s="35" customFormat="1" x14ac:dyDescent="0.25"/>
    <row r="372" s="35" customFormat="1" x14ac:dyDescent="0.25"/>
    <row r="373" s="35" customFormat="1" x14ac:dyDescent="0.25"/>
    <row r="374" s="35" customFormat="1" x14ac:dyDescent="0.25"/>
    <row r="375" s="35" customFormat="1" x14ac:dyDescent="0.25"/>
    <row r="376" s="35" customFormat="1" x14ac:dyDescent="0.25"/>
    <row r="377" s="35" customFormat="1" x14ac:dyDescent="0.25"/>
    <row r="378" s="35" customFormat="1" x14ac:dyDescent="0.25"/>
    <row r="379" s="35" customFormat="1" x14ac:dyDescent="0.25"/>
    <row r="380" s="35" customFormat="1" x14ac:dyDescent="0.25"/>
    <row r="381" s="35" customFormat="1" x14ac:dyDescent="0.25"/>
    <row r="382" s="35" customFormat="1" x14ac:dyDescent="0.25"/>
    <row r="383" s="35" customFormat="1" x14ac:dyDescent="0.25"/>
    <row r="384" s="35" customFormat="1" x14ac:dyDescent="0.25"/>
    <row r="385" s="35" customFormat="1" x14ac:dyDescent="0.25"/>
    <row r="386" s="35" customFormat="1" x14ac:dyDescent="0.25"/>
    <row r="387" s="35" customFormat="1" x14ac:dyDescent="0.25"/>
    <row r="388" s="35" customFormat="1" x14ac:dyDescent="0.25"/>
    <row r="389" s="35" customFormat="1" x14ac:dyDescent="0.25"/>
    <row r="390" s="35" customFormat="1" x14ac:dyDescent="0.25"/>
    <row r="391" s="35" customFormat="1" x14ac:dyDescent="0.25"/>
    <row r="392" s="35" customFormat="1" x14ac:dyDescent="0.25"/>
    <row r="393" s="35" customFormat="1" x14ac:dyDescent="0.25"/>
    <row r="394" s="35" customFormat="1" x14ac:dyDescent="0.25"/>
    <row r="395" s="35" customFormat="1" x14ac:dyDescent="0.25"/>
    <row r="396" s="35" customFormat="1" x14ac:dyDescent="0.25"/>
    <row r="397" s="35" customFormat="1" x14ac:dyDescent="0.25"/>
    <row r="398" s="35" customFormat="1" x14ac:dyDescent="0.25"/>
    <row r="399" s="35" customFormat="1" x14ac:dyDescent="0.25"/>
    <row r="400" s="35" customFormat="1" x14ac:dyDescent="0.25"/>
    <row r="401" s="35" customFormat="1" x14ac:dyDescent="0.25"/>
    <row r="402" s="35" customFormat="1" x14ac:dyDescent="0.25"/>
    <row r="403" s="35" customFormat="1" x14ac:dyDescent="0.25"/>
    <row r="404" s="35" customFormat="1" x14ac:dyDescent="0.25"/>
    <row r="405" s="35" customFormat="1" x14ac:dyDescent="0.25"/>
    <row r="406" s="35" customFormat="1" x14ac:dyDescent="0.25"/>
    <row r="407" s="35" customFormat="1" x14ac:dyDescent="0.25"/>
    <row r="408" s="35" customFormat="1" x14ac:dyDescent="0.25"/>
    <row r="409" s="35" customFormat="1" x14ac:dyDescent="0.25"/>
    <row r="410" s="35" customFormat="1" x14ac:dyDescent="0.25"/>
    <row r="411" s="35" customFormat="1" x14ac:dyDescent="0.25"/>
    <row r="412" s="35" customFormat="1" x14ac:dyDescent="0.25"/>
    <row r="413" s="35" customFormat="1" x14ac:dyDescent="0.25"/>
    <row r="414" s="35" customFormat="1" x14ac:dyDescent="0.25"/>
    <row r="415" s="35" customFormat="1" x14ac:dyDescent="0.25"/>
    <row r="416" s="35" customFormat="1" x14ac:dyDescent="0.25"/>
    <row r="417" s="35" customFormat="1" x14ac:dyDescent="0.25"/>
    <row r="418" s="35" customFormat="1" x14ac:dyDescent="0.25"/>
    <row r="419" s="35" customFormat="1" x14ac:dyDescent="0.25"/>
    <row r="420" s="35" customFormat="1" x14ac:dyDescent="0.25"/>
    <row r="421" s="35" customFormat="1" x14ac:dyDescent="0.25"/>
    <row r="422" s="35" customFormat="1" x14ac:dyDescent="0.25"/>
    <row r="423" s="35" customFormat="1" x14ac:dyDescent="0.25"/>
    <row r="424" s="35" customFormat="1" x14ac:dyDescent="0.25"/>
    <row r="425" s="35" customFormat="1" x14ac:dyDescent="0.25"/>
    <row r="426" s="35" customFormat="1" x14ac:dyDescent="0.25"/>
    <row r="427" s="35" customFormat="1" x14ac:dyDescent="0.25"/>
    <row r="428" s="35" customFormat="1" x14ac:dyDescent="0.25"/>
    <row r="429" s="35" customFormat="1" x14ac:dyDescent="0.25"/>
    <row r="430" s="35" customFormat="1" x14ac:dyDescent="0.25"/>
    <row r="431" s="35" customFormat="1" x14ac:dyDescent="0.25"/>
    <row r="432" s="35" customFormat="1" x14ac:dyDescent="0.25"/>
    <row r="433" s="35" customFormat="1" x14ac:dyDescent="0.25"/>
    <row r="434" s="35" customFormat="1" x14ac:dyDescent="0.25"/>
    <row r="435" s="35" customFormat="1" x14ac:dyDescent="0.25"/>
    <row r="436" s="35" customFormat="1" x14ac:dyDescent="0.25"/>
    <row r="437" s="35" customFormat="1" x14ac:dyDescent="0.25"/>
    <row r="438" s="35" customFormat="1" x14ac:dyDescent="0.25"/>
    <row r="439" s="35" customFormat="1" x14ac:dyDescent="0.25"/>
    <row r="440" s="35" customFormat="1" x14ac:dyDescent="0.25"/>
    <row r="441" s="35" customFormat="1" x14ac:dyDescent="0.25"/>
    <row r="442" s="35" customFormat="1" x14ac:dyDescent="0.25"/>
    <row r="443" s="35" customFormat="1" x14ac:dyDescent="0.25"/>
    <row r="444" s="35" customFormat="1" x14ac:dyDescent="0.25"/>
    <row r="445" s="35" customFormat="1" x14ac:dyDescent="0.25"/>
    <row r="446" s="35" customFormat="1" x14ac:dyDescent="0.25"/>
    <row r="447" s="35" customFormat="1" x14ac:dyDescent="0.25"/>
    <row r="448" s="35" customFormat="1" x14ac:dyDescent="0.25"/>
    <row r="449" s="35" customFormat="1" x14ac:dyDescent="0.25"/>
    <row r="450" s="35" customFormat="1" x14ac:dyDescent="0.25"/>
    <row r="451" s="35" customFormat="1" x14ac:dyDescent="0.25"/>
    <row r="452" s="35" customFormat="1" x14ac:dyDescent="0.25"/>
    <row r="453" s="35" customFormat="1" x14ac:dyDescent="0.25"/>
    <row r="454" s="35" customFormat="1" x14ac:dyDescent="0.25"/>
    <row r="455" s="35" customFormat="1" x14ac:dyDescent="0.25"/>
    <row r="456" s="35" customFormat="1" x14ac:dyDescent="0.25"/>
    <row r="457" s="35" customFormat="1" x14ac:dyDescent="0.25"/>
    <row r="458" s="35" customFormat="1" x14ac:dyDescent="0.25"/>
    <row r="459" s="35" customFormat="1" x14ac:dyDescent="0.25"/>
    <row r="460" s="35" customFormat="1" x14ac:dyDescent="0.25"/>
    <row r="461" s="35" customFormat="1" x14ac:dyDescent="0.25"/>
    <row r="462" s="35" customFormat="1" x14ac:dyDescent="0.25"/>
    <row r="463" s="35" customFormat="1" x14ac:dyDescent="0.25"/>
    <row r="464" s="35" customFormat="1" x14ac:dyDescent="0.25"/>
    <row r="465" s="35" customFormat="1" x14ac:dyDescent="0.25"/>
    <row r="466" s="35" customFormat="1" x14ac:dyDescent="0.25"/>
    <row r="467" s="35" customFormat="1" x14ac:dyDescent="0.25"/>
    <row r="468" s="35" customFormat="1" x14ac:dyDescent="0.25"/>
    <row r="469" s="35" customFormat="1" x14ac:dyDescent="0.25"/>
    <row r="470" s="35" customFormat="1" x14ac:dyDescent="0.25"/>
    <row r="471" s="35" customFormat="1" x14ac:dyDescent="0.25"/>
    <row r="472" s="35" customFormat="1" x14ac:dyDescent="0.25"/>
    <row r="473" s="35" customFormat="1" x14ac:dyDescent="0.25"/>
    <row r="474" s="35" customFormat="1" x14ac:dyDescent="0.25"/>
    <row r="475" s="35" customFormat="1" x14ac:dyDescent="0.25"/>
    <row r="476" s="35" customFormat="1" x14ac:dyDescent="0.25"/>
    <row r="477" s="35" customFormat="1" x14ac:dyDescent="0.25"/>
    <row r="478" s="35" customFormat="1" x14ac:dyDescent="0.25"/>
    <row r="479" s="35" customFormat="1" x14ac:dyDescent="0.25"/>
    <row r="480" s="35" customFormat="1" x14ac:dyDescent="0.25"/>
    <row r="481" s="35" customFormat="1" x14ac:dyDescent="0.25"/>
    <row r="482" s="35" customFormat="1" x14ac:dyDescent="0.25"/>
    <row r="483" s="35" customFormat="1" x14ac:dyDescent="0.25"/>
    <row r="484" s="35" customFormat="1" x14ac:dyDescent="0.25"/>
    <row r="485" s="35" customFormat="1" x14ac:dyDescent="0.25"/>
    <row r="486" s="35" customFormat="1" x14ac:dyDescent="0.25"/>
    <row r="487" s="35" customFormat="1" x14ac:dyDescent="0.25"/>
    <row r="488" s="35" customFormat="1" x14ac:dyDescent="0.25"/>
    <row r="489" s="35" customFormat="1" x14ac:dyDescent="0.25"/>
    <row r="490" s="35" customFormat="1" x14ac:dyDescent="0.25"/>
    <row r="491" s="35" customFormat="1" x14ac:dyDescent="0.25"/>
    <row r="492" s="35" customFormat="1" x14ac:dyDescent="0.25"/>
    <row r="493" s="35" customFormat="1" x14ac:dyDescent="0.25"/>
    <row r="494" s="35" customFormat="1" x14ac:dyDescent="0.25"/>
    <row r="495" s="35" customFormat="1" x14ac:dyDescent="0.25"/>
    <row r="496" s="35" customFormat="1" x14ac:dyDescent="0.25"/>
    <row r="497" s="35" customFormat="1" x14ac:dyDescent="0.25"/>
    <row r="498" s="35" customFormat="1" x14ac:dyDescent="0.25"/>
    <row r="499" s="35" customFormat="1" x14ac:dyDescent="0.25"/>
    <row r="500" s="35" customFormat="1" x14ac:dyDescent="0.25"/>
    <row r="501" s="35" customFormat="1" x14ac:dyDescent="0.25"/>
    <row r="502" s="35" customFormat="1" x14ac:dyDescent="0.25"/>
    <row r="503" s="35" customFormat="1" x14ac:dyDescent="0.25"/>
    <row r="504" s="35" customFormat="1" x14ac:dyDescent="0.25"/>
    <row r="505" s="35" customFormat="1" x14ac:dyDescent="0.25"/>
    <row r="506" s="35" customFormat="1" x14ac:dyDescent="0.25"/>
    <row r="507" s="35" customFormat="1" x14ac:dyDescent="0.25"/>
    <row r="508" s="35" customFormat="1" x14ac:dyDescent="0.25"/>
    <row r="509" s="35" customFormat="1" x14ac:dyDescent="0.25"/>
    <row r="510" s="35" customFormat="1" x14ac:dyDescent="0.25"/>
    <row r="511" s="35" customFormat="1" x14ac:dyDescent="0.25"/>
    <row r="512" s="35" customFormat="1" x14ac:dyDescent="0.25"/>
    <row r="513" s="35" customFormat="1" x14ac:dyDescent="0.25"/>
    <row r="514" s="35" customFormat="1" x14ac:dyDescent="0.25"/>
    <row r="515" s="35" customFormat="1" x14ac:dyDescent="0.25"/>
    <row r="516" s="35" customFormat="1" x14ac:dyDescent="0.25"/>
    <row r="517" s="35" customFormat="1" x14ac:dyDescent="0.25"/>
    <row r="518" s="35" customFormat="1" x14ac:dyDescent="0.25"/>
    <row r="519" s="35" customFormat="1" x14ac:dyDescent="0.25"/>
    <row r="520" s="35" customFormat="1" x14ac:dyDescent="0.25"/>
    <row r="521" s="35" customFormat="1" x14ac:dyDescent="0.25"/>
    <row r="522" s="35" customFormat="1" x14ac:dyDescent="0.25"/>
    <row r="523" s="35" customFormat="1" x14ac:dyDescent="0.25"/>
    <row r="524" s="35" customFormat="1" x14ac:dyDescent="0.25"/>
    <row r="525" s="35" customFormat="1" x14ac:dyDescent="0.25"/>
    <row r="526" s="35" customFormat="1" x14ac:dyDescent="0.25"/>
    <row r="527" s="35" customFormat="1" x14ac:dyDescent="0.25"/>
    <row r="528" s="35" customFormat="1" x14ac:dyDescent="0.25"/>
    <row r="529" s="35" customFormat="1" x14ac:dyDescent="0.25"/>
    <row r="530" s="35" customFormat="1" x14ac:dyDescent="0.25"/>
    <row r="531" s="35" customFormat="1" x14ac:dyDescent="0.25"/>
    <row r="532" s="35" customFormat="1" x14ac:dyDescent="0.25"/>
    <row r="533" s="35" customFormat="1" x14ac:dyDescent="0.25"/>
    <row r="534" s="35" customFormat="1" x14ac:dyDescent="0.25"/>
    <row r="535" s="35" customFormat="1" x14ac:dyDescent="0.25"/>
    <row r="536" s="35" customFormat="1" x14ac:dyDescent="0.25"/>
    <row r="537" s="35" customFormat="1" x14ac:dyDescent="0.25"/>
    <row r="538" s="35" customFormat="1" x14ac:dyDescent="0.25"/>
    <row r="539" s="35" customFormat="1" x14ac:dyDescent="0.25"/>
    <row r="540" s="35" customFormat="1" x14ac:dyDescent="0.25"/>
    <row r="541" s="35" customFormat="1" x14ac:dyDescent="0.25"/>
    <row r="542" s="35" customFormat="1" x14ac:dyDescent="0.25"/>
    <row r="543" s="35" customFormat="1" x14ac:dyDescent="0.25"/>
    <row r="544" s="35" customFormat="1" x14ac:dyDescent="0.25"/>
    <row r="545" s="35" customFormat="1" x14ac:dyDescent="0.25"/>
    <row r="546" s="35" customFormat="1" x14ac:dyDescent="0.25"/>
    <row r="547" s="35" customFormat="1" x14ac:dyDescent="0.25"/>
    <row r="548" s="35" customFormat="1" x14ac:dyDescent="0.25"/>
    <row r="549" s="35" customFormat="1" x14ac:dyDescent="0.25"/>
    <row r="550" s="35" customFormat="1" x14ac:dyDescent="0.25"/>
    <row r="551" s="35" customFormat="1" x14ac:dyDescent="0.25"/>
    <row r="552" s="35" customFormat="1" x14ac:dyDescent="0.25"/>
    <row r="553" s="35" customFormat="1" x14ac:dyDescent="0.25"/>
    <row r="554" s="35" customFormat="1" x14ac:dyDescent="0.25"/>
    <row r="555" s="35" customFormat="1" x14ac:dyDescent="0.25"/>
    <row r="556" s="35" customFormat="1" x14ac:dyDescent="0.25"/>
    <row r="557" s="35" customFormat="1" x14ac:dyDescent="0.25"/>
    <row r="558" s="35" customFormat="1" x14ac:dyDescent="0.25"/>
    <row r="559" s="35" customFormat="1" x14ac:dyDescent="0.25"/>
    <row r="560" s="35" customFormat="1" x14ac:dyDescent="0.25"/>
    <row r="561" s="35" customFormat="1" x14ac:dyDescent="0.25"/>
    <row r="562" s="35" customFormat="1" x14ac:dyDescent="0.25"/>
    <row r="563" s="35" customFormat="1" x14ac:dyDescent="0.25"/>
    <row r="564" s="35" customFormat="1" x14ac:dyDescent="0.25"/>
    <row r="565" s="35" customFormat="1" x14ac:dyDescent="0.25"/>
    <row r="566" s="35" customFormat="1" x14ac:dyDescent="0.25"/>
    <row r="567" s="35" customFormat="1" x14ac:dyDescent="0.25"/>
    <row r="568" s="35" customFormat="1" x14ac:dyDescent="0.25"/>
    <row r="569" s="35" customFormat="1" x14ac:dyDescent="0.25"/>
    <row r="570" s="35" customFormat="1" x14ac:dyDescent="0.25"/>
    <row r="571" s="35" customFormat="1" x14ac:dyDescent="0.25"/>
    <row r="572" s="35" customFormat="1" x14ac:dyDescent="0.25"/>
    <row r="573" s="35" customFormat="1" x14ac:dyDescent="0.25"/>
    <row r="574" s="35" customFormat="1" x14ac:dyDescent="0.25"/>
    <row r="575" s="35" customFormat="1" x14ac:dyDescent="0.25"/>
    <row r="576" s="35" customFormat="1" x14ac:dyDescent="0.25"/>
    <row r="577" s="35" customFormat="1" x14ac:dyDescent="0.25"/>
    <row r="578" s="35" customFormat="1" x14ac:dyDescent="0.25"/>
    <row r="579" s="35" customFormat="1" x14ac:dyDescent="0.25"/>
    <row r="580" s="35" customFormat="1" x14ac:dyDescent="0.25"/>
    <row r="581" s="35" customFormat="1" x14ac:dyDescent="0.25"/>
    <row r="582" s="35" customFormat="1" x14ac:dyDescent="0.25"/>
    <row r="583" s="35" customFormat="1" x14ac:dyDescent="0.25"/>
    <row r="584" s="35" customFormat="1" x14ac:dyDescent="0.25"/>
    <row r="585" s="35" customFormat="1" x14ac:dyDescent="0.25"/>
    <row r="586" s="35" customFormat="1" x14ac:dyDescent="0.25"/>
    <row r="587" s="35" customFormat="1" x14ac:dyDescent="0.25"/>
    <row r="588" s="35" customFormat="1" x14ac:dyDescent="0.25"/>
    <row r="589" s="35" customFormat="1" x14ac:dyDescent="0.25"/>
    <row r="590" s="35" customFormat="1" x14ac:dyDescent="0.25"/>
    <row r="591" s="35" customFormat="1" x14ac:dyDescent="0.25"/>
    <row r="592" s="35" customFormat="1" x14ac:dyDescent="0.25"/>
    <row r="593" s="35" customFormat="1" x14ac:dyDescent="0.25"/>
    <row r="594" s="35" customFormat="1" x14ac:dyDescent="0.25"/>
    <row r="595" s="35" customFormat="1" x14ac:dyDescent="0.25"/>
    <row r="596" s="35" customFormat="1" x14ac:dyDescent="0.25"/>
    <row r="597" s="35" customFormat="1" x14ac:dyDescent="0.25"/>
    <row r="598" s="35" customFormat="1" x14ac:dyDescent="0.25"/>
    <row r="599" s="35" customFormat="1" x14ac:dyDescent="0.25"/>
    <row r="600" s="35" customFormat="1" x14ac:dyDescent="0.25"/>
    <row r="601" s="35" customFormat="1" x14ac:dyDescent="0.25"/>
    <row r="602" s="35" customFormat="1" x14ac:dyDescent="0.25"/>
    <row r="603" s="35" customFormat="1" x14ac:dyDescent="0.25"/>
    <row r="604" s="35" customFormat="1" x14ac:dyDescent="0.25"/>
    <row r="605" s="35" customFormat="1" x14ac:dyDescent="0.25"/>
    <row r="606" s="35" customFormat="1" x14ac:dyDescent="0.25"/>
    <row r="607" s="35" customFormat="1" x14ac:dyDescent="0.25"/>
    <row r="608" s="35" customFormat="1" x14ac:dyDescent="0.25"/>
    <row r="609" s="35" customFormat="1" x14ac:dyDescent="0.25"/>
    <row r="610" s="35" customFormat="1" x14ac:dyDescent="0.25"/>
    <row r="611" s="35" customFormat="1" x14ac:dyDescent="0.25"/>
    <row r="612" s="35" customFormat="1" x14ac:dyDescent="0.25"/>
    <row r="613" s="35" customFormat="1" x14ac:dyDescent="0.25"/>
    <row r="614" s="35" customFormat="1" x14ac:dyDescent="0.25"/>
    <row r="615" s="35" customFormat="1" x14ac:dyDescent="0.25"/>
    <row r="616" s="35" customFormat="1" x14ac:dyDescent="0.25"/>
    <row r="617" s="35" customFormat="1" x14ac:dyDescent="0.25"/>
    <row r="618" s="35" customFormat="1" x14ac:dyDescent="0.25"/>
    <row r="619" s="35" customFormat="1" x14ac:dyDescent="0.25"/>
    <row r="620" s="35" customFormat="1" x14ac:dyDescent="0.25"/>
    <row r="621" s="35" customFormat="1" x14ac:dyDescent="0.25"/>
    <row r="622" s="35" customFormat="1" x14ac:dyDescent="0.25"/>
    <row r="623" s="35" customFormat="1" x14ac:dyDescent="0.25"/>
    <row r="624" s="35" customFormat="1" x14ac:dyDescent="0.25"/>
    <row r="625" s="35" customFormat="1" x14ac:dyDescent="0.25"/>
    <row r="626" s="35" customFormat="1" x14ac:dyDescent="0.25"/>
    <row r="627" s="35" customFormat="1" x14ac:dyDescent="0.25"/>
    <row r="628" s="35" customFormat="1" x14ac:dyDescent="0.25"/>
    <row r="629" s="35" customFormat="1" x14ac:dyDescent="0.25"/>
    <row r="630" s="35" customFormat="1" x14ac:dyDescent="0.25"/>
    <row r="631" s="35" customFormat="1" x14ac:dyDescent="0.25"/>
    <row r="632" s="35" customFormat="1" x14ac:dyDescent="0.25"/>
    <row r="633" s="35" customFormat="1" x14ac:dyDescent="0.25"/>
    <row r="634" s="35" customFormat="1" x14ac:dyDescent="0.25"/>
    <row r="635" s="35" customFormat="1" x14ac:dyDescent="0.25"/>
    <row r="636" s="35" customFormat="1" x14ac:dyDescent="0.25"/>
    <row r="637" s="35" customFormat="1" x14ac:dyDescent="0.25"/>
    <row r="638" s="35" customFormat="1" x14ac:dyDescent="0.25"/>
    <row r="639" s="35" customFormat="1" x14ac:dyDescent="0.25"/>
    <row r="640" s="35" customFormat="1" x14ac:dyDescent="0.25"/>
    <row r="641" s="35" customFormat="1" x14ac:dyDescent="0.25"/>
    <row r="642" s="35" customFormat="1" x14ac:dyDescent="0.25"/>
    <row r="643" s="35" customFormat="1" x14ac:dyDescent="0.25"/>
    <row r="644" s="35" customFormat="1" x14ac:dyDescent="0.25"/>
    <row r="645" s="35" customFormat="1" x14ac:dyDescent="0.25"/>
    <row r="646" s="35" customFormat="1" x14ac:dyDescent="0.25"/>
    <row r="647" s="35" customFormat="1" x14ac:dyDescent="0.25"/>
    <row r="648" s="35" customFormat="1" x14ac:dyDescent="0.25"/>
    <row r="649" s="35" customFormat="1" x14ac:dyDescent="0.25"/>
    <row r="650" s="35" customFormat="1" x14ac:dyDescent="0.25"/>
    <row r="651" s="35" customFormat="1" x14ac:dyDescent="0.25"/>
    <row r="652" s="35" customFormat="1" x14ac:dyDescent="0.25"/>
    <row r="653" s="35" customFormat="1" x14ac:dyDescent="0.25"/>
    <row r="654" s="35" customFormat="1" x14ac:dyDescent="0.25"/>
    <row r="655" s="35" customFormat="1" x14ac:dyDescent="0.25"/>
    <row r="656" s="35" customFormat="1" x14ac:dyDescent="0.25"/>
    <row r="657" s="35" customFormat="1" x14ac:dyDescent="0.25"/>
    <row r="658" s="35" customFormat="1" x14ac:dyDescent="0.25"/>
    <row r="659" s="35" customFormat="1" x14ac:dyDescent="0.25"/>
    <row r="660" s="35" customFormat="1" x14ac:dyDescent="0.25"/>
    <row r="661" s="35" customFormat="1" x14ac:dyDescent="0.25"/>
    <row r="662" s="35" customFormat="1" x14ac:dyDescent="0.25"/>
    <row r="663" s="35" customFormat="1" x14ac:dyDescent="0.25"/>
    <row r="664" s="35" customFormat="1" x14ac:dyDescent="0.25"/>
    <row r="665" s="35" customFormat="1" x14ac:dyDescent="0.25"/>
    <row r="666" s="35" customFormat="1" x14ac:dyDescent="0.25"/>
    <row r="667" s="35" customFormat="1" x14ac:dyDescent="0.25"/>
    <row r="668" s="35" customFormat="1" x14ac:dyDescent="0.25"/>
    <row r="669" s="35" customFormat="1" x14ac:dyDescent="0.25"/>
    <row r="670" s="35" customFormat="1" x14ac:dyDescent="0.25"/>
    <row r="671" s="35" customFormat="1" x14ac:dyDescent="0.25"/>
    <row r="672" s="35" customFormat="1" x14ac:dyDescent="0.25"/>
    <row r="673" s="35" customFormat="1" x14ac:dyDescent="0.25"/>
    <row r="674" s="35" customFormat="1" x14ac:dyDescent="0.25"/>
    <row r="675" s="35" customFormat="1" x14ac:dyDescent="0.25"/>
    <row r="676" s="35" customFormat="1" x14ac:dyDescent="0.25"/>
    <row r="677" s="35" customFormat="1" x14ac:dyDescent="0.25"/>
    <row r="678" s="35" customFormat="1" x14ac:dyDescent="0.25"/>
    <row r="679" s="35" customFormat="1" x14ac:dyDescent="0.25"/>
    <row r="680" s="35" customFormat="1" x14ac:dyDescent="0.25"/>
    <row r="681" s="35" customFormat="1" x14ac:dyDescent="0.25"/>
    <row r="682" s="35" customFormat="1" x14ac:dyDescent="0.25"/>
    <row r="683" s="35" customFormat="1" x14ac:dyDescent="0.25"/>
    <row r="684" s="35" customFormat="1" x14ac:dyDescent="0.25"/>
    <row r="685" s="35" customFormat="1" x14ac:dyDescent="0.25"/>
    <row r="686" s="35" customFormat="1" x14ac:dyDescent="0.25"/>
    <row r="687" s="35" customFormat="1" x14ac:dyDescent="0.25"/>
    <row r="688" s="35" customFormat="1" x14ac:dyDescent="0.25"/>
    <row r="689" s="35" customFormat="1" x14ac:dyDescent="0.25"/>
    <row r="690" s="35" customFormat="1" x14ac:dyDescent="0.25"/>
    <row r="691" s="35" customFormat="1" x14ac:dyDescent="0.25"/>
    <row r="692" s="35" customFormat="1" x14ac:dyDescent="0.25"/>
    <row r="693" s="35" customFormat="1" x14ac:dyDescent="0.25"/>
    <row r="694" s="35" customFormat="1" x14ac:dyDescent="0.25"/>
    <row r="695" s="35" customFormat="1" x14ac:dyDescent="0.25"/>
    <row r="696" s="35" customFormat="1" x14ac:dyDescent="0.25"/>
    <row r="697" s="35" customFormat="1" x14ac:dyDescent="0.25"/>
    <row r="698" s="35" customFormat="1" x14ac:dyDescent="0.25"/>
    <row r="699" s="35" customFormat="1" x14ac:dyDescent="0.25"/>
    <row r="700" s="35" customFormat="1" x14ac:dyDescent="0.25"/>
    <row r="701" s="35" customFormat="1" x14ac:dyDescent="0.25"/>
    <row r="702" s="35" customFormat="1" x14ac:dyDescent="0.25"/>
    <row r="703" s="35" customFormat="1" x14ac:dyDescent="0.25"/>
    <row r="704" s="35" customFormat="1" x14ac:dyDescent="0.25"/>
    <row r="705" s="35" customFormat="1" x14ac:dyDescent="0.25"/>
    <row r="706" s="35" customFormat="1" x14ac:dyDescent="0.25"/>
    <row r="707" s="35" customFormat="1" x14ac:dyDescent="0.25"/>
    <row r="708" s="35" customFormat="1" x14ac:dyDescent="0.25"/>
    <row r="709" s="35" customFormat="1" x14ac:dyDescent="0.25"/>
    <row r="710" s="35" customFormat="1" x14ac:dyDescent="0.25"/>
    <row r="711" s="35" customFormat="1" x14ac:dyDescent="0.25"/>
    <row r="712" s="35" customFormat="1" x14ac:dyDescent="0.25"/>
    <row r="713" s="35" customFormat="1" x14ac:dyDescent="0.25"/>
    <row r="714" s="35" customFormat="1" x14ac:dyDescent="0.25"/>
    <row r="715" s="35" customFormat="1" x14ac:dyDescent="0.25"/>
    <row r="716" s="35" customFormat="1" x14ac:dyDescent="0.25"/>
    <row r="717" s="35" customFormat="1" x14ac:dyDescent="0.25"/>
    <row r="718" s="35" customFormat="1" x14ac:dyDescent="0.25"/>
    <row r="719" s="35" customFormat="1" x14ac:dyDescent="0.25"/>
    <row r="720" s="35" customFormat="1" x14ac:dyDescent="0.25"/>
    <row r="721" s="35" customFormat="1" x14ac:dyDescent="0.25"/>
    <row r="722" s="35" customFormat="1" x14ac:dyDescent="0.25"/>
    <row r="723" s="35" customFormat="1" x14ac:dyDescent="0.25"/>
    <row r="724" s="35" customFormat="1" x14ac:dyDescent="0.25"/>
    <row r="725" s="35" customFormat="1" x14ac:dyDescent="0.25"/>
    <row r="726" s="35" customFormat="1" x14ac:dyDescent="0.25"/>
    <row r="727" s="35" customFormat="1" x14ac:dyDescent="0.25"/>
    <row r="728" s="35" customFormat="1" x14ac:dyDescent="0.25"/>
    <row r="729" s="35" customFormat="1" x14ac:dyDescent="0.25"/>
    <row r="730" s="35" customFormat="1" x14ac:dyDescent="0.25"/>
    <row r="731" s="35" customFormat="1" x14ac:dyDescent="0.25"/>
    <row r="732" s="35" customFormat="1" x14ac:dyDescent="0.25"/>
    <row r="733" s="35" customFormat="1" x14ac:dyDescent="0.25"/>
    <row r="734" s="35" customFormat="1" x14ac:dyDescent="0.25"/>
    <row r="735" s="35" customFormat="1" x14ac:dyDescent="0.25"/>
    <row r="736" s="35" customFormat="1" x14ac:dyDescent="0.25"/>
    <row r="737" s="35" customFormat="1" x14ac:dyDescent="0.25"/>
    <row r="738" s="35" customFormat="1" x14ac:dyDescent="0.25"/>
    <row r="739" s="35" customFormat="1" x14ac:dyDescent="0.25"/>
    <row r="740" s="35" customFormat="1" x14ac:dyDescent="0.25"/>
    <row r="741" s="35" customFormat="1" x14ac:dyDescent="0.25"/>
    <row r="742" s="35" customFormat="1" x14ac:dyDescent="0.25"/>
    <row r="743" s="35" customFormat="1" x14ac:dyDescent="0.25"/>
    <row r="744" s="35" customFormat="1" x14ac:dyDescent="0.25"/>
    <row r="745" s="35" customFormat="1" x14ac:dyDescent="0.25"/>
    <row r="746" s="35" customFormat="1" x14ac:dyDescent="0.25"/>
    <row r="747" s="35" customFormat="1" x14ac:dyDescent="0.25"/>
    <row r="748" s="35" customFormat="1" x14ac:dyDescent="0.25"/>
    <row r="749" s="35" customFormat="1" x14ac:dyDescent="0.25"/>
    <row r="750" s="35" customFormat="1" x14ac:dyDescent="0.25"/>
    <row r="751" s="35" customFormat="1" x14ac:dyDescent="0.25"/>
    <row r="752" s="35" customFormat="1" x14ac:dyDescent="0.25"/>
    <row r="753" s="35" customFormat="1" x14ac:dyDescent="0.25"/>
    <row r="754" s="35" customFormat="1" x14ac:dyDescent="0.25"/>
    <row r="755" s="35" customFormat="1" x14ac:dyDescent="0.25"/>
    <row r="756" s="35" customFormat="1" x14ac:dyDescent="0.25"/>
    <row r="757" s="35" customFormat="1" x14ac:dyDescent="0.25"/>
    <row r="758" s="35" customFormat="1" x14ac:dyDescent="0.25"/>
    <row r="759" s="35" customFormat="1" x14ac:dyDescent="0.25"/>
    <row r="760" s="35" customFormat="1" x14ac:dyDescent="0.25"/>
    <row r="761" s="35" customFormat="1" x14ac:dyDescent="0.25"/>
    <row r="762" s="35" customFormat="1" x14ac:dyDescent="0.25"/>
    <row r="763" s="35" customFormat="1" x14ac:dyDescent="0.25"/>
    <row r="764" s="35" customFormat="1" x14ac:dyDescent="0.25"/>
    <row r="765" s="35" customFormat="1" x14ac:dyDescent="0.25"/>
    <row r="766" s="35" customFormat="1" x14ac:dyDescent="0.25"/>
    <row r="767" s="35" customFormat="1" x14ac:dyDescent="0.25"/>
    <row r="768" s="35" customFormat="1" x14ac:dyDescent="0.25"/>
    <row r="769" s="35" customFormat="1" x14ac:dyDescent="0.25"/>
    <row r="770" s="35" customFormat="1" x14ac:dyDescent="0.25"/>
    <row r="771" s="35" customFormat="1" x14ac:dyDescent="0.25"/>
    <row r="772" s="35" customFormat="1" x14ac:dyDescent="0.25"/>
    <row r="773" s="35" customFormat="1" x14ac:dyDescent="0.25"/>
    <row r="774" s="35" customFormat="1" x14ac:dyDescent="0.25"/>
    <row r="775" s="35" customFormat="1" x14ac:dyDescent="0.25"/>
    <row r="776" s="35" customFormat="1" x14ac:dyDescent="0.25"/>
    <row r="777" s="35" customFormat="1" x14ac:dyDescent="0.25"/>
    <row r="778" s="35" customFormat="1" x14ac:dyDescent="0.25"/>
    <row r="779" s="35" customFormat="1" x14ac:dyDescent="0.25"/>
    <row r="780" s="35" customFormat="1" x14ac:dyDescent="0.25"/>
    <row r="781" s="35" customFormat="1" x14ac:dyDescent="0.25"/>
    <row r="782" s="35" customFormat="1" x14ac:dyDescent="0.25"/>
    <row r="783" s="35" customFormat="1" x14ac:dyDescent="0.25"/>
    <row r="784" s="35" customFormat="1" x14ac:dyDescent="0.25"/>
    <row r="785" s="35" customFormat="1" x14ac:dyDescent="0.25"/>
    <row r="786" s="35" customFormat="1" x14ac:dyDescent="0.25"/>
    <row r="787" s="35" customFormat="1" x14ac:dyDescent="0.25"/>
    <row r="788" s="35" customFormat="1" x14ac:dyDescent="0.25"/>
    <row r="789" s="35" customFormat="1" x14ac:dyDescent="0.25"/>
    <row r="790" s="35" customFormat="1" x14ac:dyDescent="0.25"/>
    <row r="791" s="35" customFormat="1" x14ac:dyDescent="0.25"/>
    <row r="792" s="35" customFormat="1" x14ac:dyDescent="0.25"/>
    <row r="793" s="35" customFormat="1" x14ac:dyDescent="0.25"/>
    <row r="794" s="35" customFormat="1" x14ac:dyDescent="0.25"/>
    <row r="795" s="35" customFormat="1" x14ac:dyDescent="0.25"/>
    <row r="796" s="35" customFormat="1" x14ac:dyDescent="0.25"/>
    <row r="797" s="35" customFormat="1" x14ac:dyDescent="0.25"/>
    <row r="798" s="35" customFormat="1" x14ac:dyDescent="0.25"/>
    <row r="799" s="35" customFormat="1" x14ac:dyDescent="0.25"/>
    <row r="800" s="35" customFormat="1" x14ac:dyDescent="0.25"/>
    <row r="801" s="35" customFormat="1" x14ac:dyDescent="0.25"/>
    <row r="802" s="35" customFormat="1" x14ac:dyDescent="0.25"/>
    <row r="803" s="35" customFormat="1" x14ac:dyDescent="0.25"/>
    <row r="804" s="35" customFormat="1" x14ac:dyDescent="0.25"/>
    <row r="805" s="35" customFormat="1" x14ac:dyDescent="0.25"/>
    <row r="806" s="35" customFormat="1" x14ac:dyDescent="0.25"/>
    <row r="807" s="35" customFormat="1" x14ac:dyDescent="0.25"/>
    <row r="808" s="35" customFormat="1" x14ac:dyDescent="0.25"/>
    <row r="809" s="35" customFormat="1" x14ac:dyDescent="0.25"/>
    <row r="810" s="35" customFormat="1" x14ac:dyDescent="0.25"/>
    <row r="811" s="35" customFormat="1" x14ac:dyDescent="0.25"/>
    <row r="812" s="35" customFormat="1" x14ac:dyDescent="0.25"/>
    <row r="813" s="35" customFormat="1" x14ac:dyDescent="0.25"/>
    <row r="814" s="35" customFormat="1" x14ac:dyDescent="0.25"/>
    <row r="815" s="35" customFormat="1" x14ac:dyDescent="0.25"/>
    <row r="816" s="35" customFormat="1" x14ac:dyDescent="0.25"/>
    <row r="817" s="35" customFormat="1" x14ac:dyDescent="0.25"/>
    <row r="818" s="35" customFormat="1" x14ac:dyDescent="0.25"/>
    <row r="819" s="35" customFormat="1" x14ac:dyDescent="0.25"/>
    <row r="820" s="35" customFormat="1" x14ac:dyDescent="0.25"/>
    <row r="821" s="35" customFormat="1" x14ac:dyDescent="0.25"/>
    <row r="822" s="35" customFormat="1" x14ac:dyDescent="0.25"/>
    <row r="823" s="35" customFormat="1" x14ac:dyDescent="0.25"/>
    <row r="824" s="35" customFormat="1" x14ac:dyDescent="0.25"/>
    <row r="825" s="35" customFormat="1" x14ac:dyDescent="0.25"/>
    <row r="826" s="35" customFormat="1" x14ac:dyDescent="0.25"/>
    <row r="827" s="35" customFormat="1" x14ac:dyDescent="0.25"/>
    <row r="828" s="35" customFormat="1" x14ac:dyDescent="0.25"/>
    <row r="829" s="35" customFormat="1" x14ac:dyDescent="0.25"/>
    <row r="830" s="35" customFormat="1" x14ac:dyDescent="0.25"/>
    <row r="831" s="35" customFormat="1" x14ac:dyDescent="0.25"/>
    <row r="832" s="35" customFormat="1" x14ac:dyDescent="0.25"/>
    <row r="833" s="35" customFormat="1" x14ac:dyDescent="0.25"/>
    <row r="834" s="35" customFormat="1" x14ac:dyDescent="0.25"/>
  </sheetData>
  <autoFilter ref="B6:W146" xr:uid="{660116AA-4F1A-433A-9076-F61DB26C0C49}">
    <filterColumn colId="2">
      <filters>
        <filter val="0.013"/>
        <filter val="0.038"/>
        <filter val="0.09"/>
        <filter val="0.1"/>
        <filter val="0.135"/>
        <filter val="0.175"/>
        <filter val="1"/>
        <filter val="2"/>
        <filter val="4"/>
        <filter val="5"/>
        <filter val="7"/>
      </filters>
    </filterColumn>
    <sortState ref="B11:W146">
      <sortCondition ref="H6"/>
    </sortState>
  </autoFilter>
  <mergeCells count="3">
    <mergeCell ref="B2:B6"/>
    <mergeCell ref="C2:C6"/>
    <mergeCell ref="D2:D6"/>
  </mergeCells>
  <conditionalFormatting sqref="H7:T146">
    <cfRule type="expression" dxfId="1" priority="1">
      <formula>IF($G7="Stock", MMULT($B7:$D7,H$3:H$5)&lt;=H7)</formula>
    </cfRule>
    <cfRule type="expression" dxfId="0" priority="2">
      <formula>IF($G7="Stock", MMULT($B7:$D7,H$3:H$5)&gt;H7)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(Gio) Marcolla</cp:lastModifiedBy>
  <dcterms:created xsi:type="dcterms:W3CDTF">2023-01-25T03:00:50Z</dcterms:created>
  <dcterms:modified xsi:type="dcterms:W3CDTF">2023-01-25T04:29:06Z</dcterms:modified>
</cp:coreProperties>
</file>